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matrixenergia.sharepoint.com/sites/PortflioGD/Documentos Compartilhados/7. PORTFOLIO/32. Exops/"/>
    </mc:Choice>
  </mc:AlternateContent>
  <xr:revisionPtr revIDLastSave="0" documentId="13_ncr:1_{32CE88EB-B718-44AD-A580-BA2E0C1678D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ainel Executivo" sheetId="3" r:id="rId1"/>
    <sheet name="Plano Estratégico" sheetId="1" r:id="rId2"/>
    <sheet name="Configurações" sheetId="4" r:id="rId3"/>
  </sheets>
  <definedNames>
    <definedName name="Lista_Areas">Configurações!$E$4:$E$19</definedName>
    <definedName name="Lista_Interferencia">Configurações!$C$4:$C$8</definedName>
    <definedName name="Lista_Nivel">Configurações!$B$4:$B$7</definedName>
    <definedName name="Lista_Status">Configurações!$A$4:$A$9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J4" i="1"/>
  <c r="K4" i="1" s="1"/>
  <c r="S4" i="1"/>
  <c r="J5" i="1"/>
  <c r="K5" i="1" s="1"/>
  <c r="S5" i="1"/>
  <c r="A3" i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C18" i="3"/>
  <c r="C17" i="3"/>
  <c r="C16" i="3"/>
  <c r="C15" i="3"/>
  <c r="C14" i="3"/>
  <c r="C13" i="3"/>
  <c r="S3" i="1"/>
  <c r="J3" i="1"/>
  <c r="K3" i="1" s="1"/>
  <c r="S2" i="1"/>
  <c r="J2" i="1"/>
  <c r="K2" i="1" s="1"/>
  <c r="B8" i="3" l="1"/>
  <c r="F16" i="3"/>
  <c r="F15" i="3"/>
  <c r="B4" i="3"/>
  <c r="E4" i="3"/>
  <c r="H4" i="3"/>
  <c r="F13" i="3"/>
  <c r="F14" i="3"/>
  <c r="K4" i="3"/>
</calcChain>
</file>

<file path=xl/sharedStrings.xml><?xml version="1.0" encoding="utf-8"?>
<sst xmlns="http://schemas.openxmlformats.org/spreadsheetml/2006/main" count="97" uniqueCount="67">
  <si>
    <t>PAINEL EXECUTIVO — PLANEJAMENTO CROSS-ÁREAS</t>
  </si>
  <si>
    <t>TOTAL DE INICIATIVAS</t>
  </si>
  <si>
    <t>EM ABERTO</t>
  </si>
  <si>
    <t>PRIORIDADE CRÍTICA</t>
  </si>
  <si>
    <t>PRAZOS EM RISCO</t>
  </si>
  <si>
    <t>HISTÓRIA EM RESUMO</t>
  </si>
  <si>
    <t>Status</t>
  </si>
  <si>
    <t>Quantidade</t>
  </si>
  <si>
    <t>Prioridade</t>
  </si>
  <si>
    <t>Área líder</t>
  </si>
  <si>
    <t>Não iniciado</t>
  </si>
  <si>
    <t>Crítico</t>
  </si>
  <si>
    <t>Em análise</t>
  </si>
  <si>
    <t>Alto</t>
  </si>
  <si>
    <t>Planejado</t>
  </si>
  <si>
    <t>Médio</t>
  </si>
  <si>
    <t>Em andamento</t>
  </si>
  <si>
    <t>Baixo</t>
  </si>
  <si>
    <t>Bloqueado</t>
  </si>
  <si>
    <t>Concluído</t>
  </si>
  <si>
    <t>ID</t>
  </si>
  <si>
    <t>Área impactada</t>
  </si>
  <si>
    <t>Descrição do problema</t>
  </si>
  <si>
    <t>Prévia da solução</t>
  </si>
  <si>
    <t>Tipo de interferência</t>
  </si>
  <si>
    <t>Impacto</t>
  </si>
  <si>
    <t>Urgência</t>
  </si>
  <si>
    <t>Esforço</t>
  </si>
  <si>
    <t>Score</t>
  </si>
  <si>
    <t>Responsável</t>
  </si>
  <si>
    <t>Início</t>
  </si>
  <si>
    <t>Prazo</t>
  </si>
  <si>
    <t>Meta</t>
  </si>
  <si>
    <t>Próxima ação</t>
  </si>
  <si>
    <t>Última atualização</t>
  </si>
  <si>
    <t>Farol</t>
  </si>
  <si>
    <t>Faturamento</t>
  </si>
  <si>
    <t>CX e Operações</t>
  </si>
  <si>
    <t>* Quando há UC's com mais de 3 meses sem faturas para análise do demonstrativo de saldo.
* Tem que achar a fatura e notificar as partes de direito para entender os motivos de não se ter as faturas.
* Atualmente é estimado os saldos quando não se tem essa visibilidade em até 3 meses.</t>
  </si>
  <si>
    <t>Pelo farol do B.U.R ver quais UC's estão a mais de 3 meses sem fatura, entender qual é a distribuidora e conversar com o setor de relacionamento com distribuidora para encontrar a solução</t>
  </si>
  <si>
    <t>Sistema / Dados</t>
  </si>
  <si>
    <t>Setor de cadastro</t>
  </si>
  <si>
    <t>UC's em duplicidades contaminam a base do CRM</t>
  </si>
  <si>
    <t>Mandar a relação de UC's em duplicidade que serão extraidas pelo B.U.R para o setor de cadastro e monitorar retiradas via KPI's mensais</t>
  </si>
  <si>
    <t>CONFIGURAÇÕES DO PLANEJAMENTO</t>
  </si>
  <si>
    <t>Nível</t>
  </si>
  <si>
    <t>Áreas</t>
  </si>
  <si>
    <t>Regra de prioridade</t>
  </si>
  <si>
    <t>Limite mínimo</t>
  </si>
  <si>
    <t>Descrição</t>
  </si>
  <si>
    <t>Processo</t>
  </si>
  <si>
    <t>Verde</t>
  </si>
  <si>
    <t>Alta combinação de impacto e urgência com menor esforço</t>
  </si>
  <si>
    <t>Amarelo</t>
  </si>
  <si>
    <t>CX</t>
  </si>
  <si>
    <t>Deve entrar no ciclo prioritário de execução</t>
  </si>
  <si>
    <t>Pessoas</t>
  </si>
  <si>
    <t>Vermelho</t>
  </si>
  <si>
    <t>Operações</t>
  </si>
  <si>
    <t>Planejar após os itens críticos e altos</t>
  </si>
  <si>
    <t>Governança</t>
  </si>
  <si>
    <t>Cinza</t>
  </si>
  <si>
    <t>Manter no backlog e revisar periodicamente</t>
  </si>
  <si>
    <t>Fornecedor / Terceiro</t>
  </si>
  <si>
    <t>Tecnologia</t>
  </si>
  <si>
    <t>Financeiro</t>
  </si>
  <si>
    <t>Escalas:
Leia-se:
Impacto = Quanto a iniciativa ajuda o negócio; 
Urgência = Quão rápido precisa ser resolvida; 
Esforço = Quanto recurso/tempo ela consome.
Sendo:
Impacto * Urgência * (6 - Esforço)
Então:
Esforço baixo: aumenta o score
Esforço alto: reduz o score
Isso evita que itens muito trabalhosos ganhem prioridade acima de iniciativas mais “eficientes” ou de maior retorno.
Impacto e Urgência aumentam o score; 
Esforço reduz o score. Use 1 (baixo) a 5 (alto).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</si>
</sst>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Lexend"/>
    </font>
    <font>
      <sz val="11"/>
      <color theme="1"/>
      <name val="Lexend"/>
    </font>
    <font>
      <b/>
      <sz val="8"/>
      <color rgb="FFFFFFFF"/>
      <name val="Lexend"/>
    </font>
    <font>
      <sz val="8"/>
      <color theme="1"/>
      <name val="Lexend"/>
    </font>
    <font>
      <b/>
      <sz val="18"/>
      <color rgb="FFFFFFFF"/>
      <name val="Lexend"/>
    </font>
    <font>
      <sz val="11"/>
      <color rgb="FF333333"/>
      <name val="Lexend"/>
    </font>
    <font>
      <sz val="22"/>
      <color theme="1"/>
      <name val="Lexend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" fontId="6" fillId="2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4" fillId="2" borderId="11" xfId="0" applyFont="1" applyFill="1" applyBorder="1"/>
    <xf numFmtId="0" fontId="4" fillId="2" borderId="13" xfId="0" applyFont="1" applyFill="1" applyBorder="1"/>
    <xf numFmtId="0" fontId="4" fillId="2" borderId="4" xfId="0" applyFont="1" applyFill="1" applyBorder="1"/>
    <xf numFmtId="0" fontId="4" fillId="2" borderId="12" xfId="0" applyFont="1" applyFill="1" applyBorder="1"/>
    <xf numFmtId="0" fontId="4" fillId="2" borderId="2" xfId="0" applyFont="1" applyFill="1" applyBorder="1"/>
    <xf numFmtId="0" fontId="4" fillId="5" borderId="7" xfId="0" applyFont="1" applyFill="1" applyBorder="1"/>
    <xf numFmtId="0" fontId="8" fillId="2" borderId="0" xfId="0" applyFont="1" applyFill="1" applyAlignment="1">
      <alignment vertical="center" wrapText="1"/>
    </xf>
    <xf numFmtId="0" fontId="7" fillId="5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/>
    </xf>
    <xf numFmtId="0" fontId="3" fillId="2" borderId="0" xfId="0" applyFont="1" applyFill="1" applyAlignment="1"/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alignment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8"/>
        <name val="Lexend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rgb="FFFFFFFF"/>
        <name val="Lexend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B45F06"/>
      </font>
      <fill>
        <patternFill patternType="solid">
          <fgColor indexed="64"/>
          <bgColor rgb="FFFCE5CD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mruColors>
      <color rgb="FFF06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Iniciativas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'Painel Executivo'!$B$13:$B$18</c:f>
              <c:strCache>
                <c:ptCount val="6"/>
                <c:pt idx="0">
                  <c:v>Não iniciado</c:v>
                </c:pt>
                <c:pt idx="1">
                  <c:v>Em análise</c:v>
                </c:pt>
                <c:pt idx="2">
                  <c:v>Planejado</c:v>
                </c:pt>
                <c:pt idx="3">
                  <c:v>Em andamento</c:v>
                </c:pt>
                <c:pt idx="4">
                  <c:v>Bloqueado</c:v>
                </c:pt>
                <c:pt idx="5">
                  <c:v>Concluído</c:v>
                </c:pt>
              </c:strCache>
            </c:strRef>
          </c:cat>
          <c:val>
            <c:numRef>
              <c:f>'Painel Executivo'!$C$13:$C$18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E-49A0-96B2-381DD91DD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675296"/>
        <c:axId val="397136976"/>
      </c:barChart>
      <c:catAx>
        <c:axId val="59267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7136976"/>
        <c:crosses val="autoZero"/>
        <c:auto val="1"/>
        <c:lblAlgn val="ctr"/>
        <c:lblOffset val="100"/>
        <c:noMultiLvlLbl val="0"/>
      </c:catAx>
      <c:valAx>
        <c:axId val="3971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6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Iniciativas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'Painel Executivo'!$E$13:$E$16</c:f>
              <c:strCache>
                <c:ptCount val="4"/>
                <c:pt idx="0">
                  <c:v>Crítico</c:v>
                </c:pt>
                <c:pt idx="1">
                  <c:v>Alto</c:v>
                </c:pt>
                <c:pt idx="2">
                  <c:v>Médio</c:v>
                </c:pt>
                <c:pt idx="3">
                  <c:v>Baixo</c:v>
                </c:pt>
              </c:strCache>
            </c:strRef>
          </c:cat>
          <c:val>
            <c:numRef>
              <c:f>'Painel Executivo'!$F$13:$F$16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B-4117-A910-BEB5CA5D7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609024"/>
        <c:axId val="314857648"/>
      </c:barChart>
      <c:catAx>
        <c:axId val="20216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4857648"/>
        <c:crosses val="autoZero"/>
        <c:auto val="1"/>
        <c:lblAlgn val="ctr"/>
        <c:lblOffset val="100"/>
        <c:noMultiLvlLbl val="0"/>
      </c:catAx>
      <c:valAx>
        <c:axId val="3148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6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80819</xdr:colOff>
      <xdr:row>19</xdr:row>
      <xdr:rowOff>219363</xdr:rowOff>
    </xdr:from>
    <xdr:to>
      <xdr:col>6</xdr:col>
      <xdr:colOff>300184</xdr:colOff>
      <xdr:row>32</xdr:row>
      <xdr:rowOff>69273</xdr:rowOff>
    </xdr:to>
    <xdr:graphicFrame macro="">
      <xdr:nvGraphicFramePr>
        <xdr:cNvPr id="2" name="Status do Portfólio">
          <a:extLst>
            <a:ext uri="{FF2B5EF4-FFF2-40B4-BE49-F238E27FC236}">
              <a16:creationId xmlns:a16="http://schemas.microsoft.com/office/drawing/2014/main" id="{A8705B23-F6B9-D912-B016-EA76CD595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415635</xdr:colOff>
      <xdr:row>19</xdr:row>
      <xdr:rowOff>219364</xdr:rowOff>
    </xdr:from>
    <xdr:to>
      <xdr:col>12</xdr:col>
      <xdr:colOff>473362</xdr:colOff>
      <xdr:row>32</xdr:row>
      <xdr:rowOff>69273</xdr:rowOff>
    </xdr:to>
    <xdr:graphicFrame macro="">
      <xdr:nvGraphicFramePr>
        <xdr:cNvPr id="3" name="Prioridade do Portfólio">
          <a:extLst>
            <a:ext uri="{FF2B5EF4-FFF2-40B4-BE49-F238E27FC236}">
              <a16:creationId xmlns:a16="http://schemas.microsoft.com/office/drawing/2014/main" id="{F292E3DB-A5B4-DF67-5C21-99703C06C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EDD42-3C8D-47FD-8518-49B7D90F7E96}" name="tbPlanoEstrategico" displayName="tbPlanoEstrategico" ref="A1:S5" totalsRowShown="0" headerRowDxfId="23" dataDxfId="22" headerRowBorderDxfId="20" tableBorderDxfId="21" totalsRowBorderDxfId="19">
  <autoFilter ref="A1:S5" xr:uid="{906EDD42-3C8D-47FD-8518-49B7D90F7E96}"/>
  <tableColumns count="19">
    <tableColumn id="1" xr3:uid="{ACB4A5DA-C262-4205-899B-86AC4F10A94B}" name="ID" dataDxfId="18">
      <calculatedColumnFormula>IF(tbPlanoEstrategico[[#This Row],[Área líder]]="","","P.E-"&amp;TEXT(ROW()-1,"000"))</calculatedColumnFormula>
    </tableColumn>
    <tableColumn id="2" xr3:uid="{BF3DA346-7BD2-47CA-8B7F-77055588A6F9}" name="Área líder" dataDxfId="17"/>
    <tableColumn id="3" xr3:uid="{1C98212A-79AD-4D35-BABC-795731E0AEC4}" name="Área impactada" dataDxfId="16"/>
    <tableColumn id="5" xr3:uid="{6DF78A90-5288-4772-87D2-2F68F750768A}" name="Descrição do problema" dataDxfId="15"/>
    <tableColumn id="6" xr3:uid="{D139992E-FE38-4544-B310-E76450888816}" name="Prévia da solução" dataDxfId="14"/>
    <tableColumn id="7" xr3:uid="{F24D757A-0971-48CA-B474-03A30E19D06B}" name="Tipo de interferência" dataDxfId="13"/>
    <tableColumn id="8" xr3:uid="{49CE7D47-F478-47D3-8C87-739044292DF9}" name="Impacto" dataDxfId="12"/>
    <tableColumn id="9" xr3:uid="{32F2FEDA-6DCF-44A6-8020-83BB96F5698B}" name="Urgência" dataDxfId="11"/>
    <tableColumn id="10" xr3:uid="{278004A9-CE5C-453B-B7A6-A0B0B3A6E9F3}" name="Esforço" dataDxfId="10"/>
    <tableColumn id="11" xr3:uid="{FE599244-7C3A-4C88-B975-4541156DCB94}" name="Score" dataDxfId="9">
      <calculatedColumnFormula>IF(OR(tbPlanoEstrategico[[#This Row],[Impacto]]="",tbPlanoEstrategico[[#This Row],[Urgência]]="",tbPlanoEstrategico[[#This Row],[Esforço]]=""),"",tbPlanoEstrategico[[#This Row],[Impacto]]*tbPlanoEstrategico[[#This Row],[Urgência]]*(6-tbPlanoEstrategico[[#This Row],[Esforço]]))</calculatedColumnFormula>
    </tableColumn>
    <tableColumn id="12" xr3:uid="{8AAE2B3F-B3AE-473C-BE04-6DDE79B4B140}" name="Prioridade" dataDxfId="8">
      <calculatedColumnFormula>IF(tbPlanoEstrategico[[#This Row],[Score]]="","",IF(tbPlanoEstrategico[[#This Row],[Score]]&gt;=80,"Crítico",IF(tbPlanoEstrategico[[#This Row],[Score]]&gt;=45,"Alto",IF(tbPlanoEstrategico[[#This Row],[Score]]&gt;=20,"Médio","Baixo"))))</calculatedColumnFormula>
    </tableColumn>
    <tableColumn id="13" xr3:uid="{9210E7F6-3D06-45B4-93DF-73CBE9EABEBC}" name="Status" dataDxfId="7"/>
    <tableColumn id="14" xr3:uid="{565DD35F-EE1F-40B4-864C-4621B93E86F4}" name="Responsável" dataDxfId="6"/>
    <tableColumn id="16" xr3:uid="{51104EA4-E3A4-4A5E-A9B3-E542B43BDB07}" name="Início" dataDxfId="5"/>
    <tableColumn id="17" xr3:uid="{05494058-0571-439B-80D3-82DA6D3DDDAA}" name="Prazo" dataDxfId="4"/>
    <tableColumn id="19" xr3:uid="{A1AF4C35-DF9F-460A-A18E-1CEDE9207FA2}" name="Meta" dataDxfId="3"/>
    <tableColumn id="20" xr3:uid="{3673A9A0-58E8-4319-B37D-EDCC8C3C8F77}" name="Próxima ação" dataDxfId="2"/>
    <tableColumn id="22" xr3:uid="{FC888A56-30E0-4017-806D-07FA480CD6F5}" name="Última atualização" dataDxfId="1"/>
    <tableColumn id="23" xr3:uid="{49AE333E-40E8-4592-8FBA-E60525835B63}" name="Farol" dataDxfId="0">
      <calculatedColumnFormula>IF(tbPlanoEstrategico[[#This Row],[Status]]="Concluído","Verde",IF(tbPlanoEstrategico[[#This Row],[Prazo]]="","Cinza",IF(tbPlanoEstrategico[[#This Row],[Prazo]]&lt;TODAY(),"Vermelho",IF(tbPlanoEstrategico[[#This Row],[Prazo]]&lt;=TODAY()+7,"Amarelo","Verde"))))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008E-E44B-42CE-975C-E5B34BC54DED}">
  <sheetPr>
    <tabColor rgb="FFFFC000"/>
  </sheetPr>
  <dimension ref="A1:M34"/>
  <sheetViews>
    <sheetView zoomScale="55" zoomScaleNormal="55" workbookViewId="0">
      <selection activeCell="Q27" sqref="Q27"/>
    </sheetView>
  </sheetViews>
  <sheetFormatPr defaultColWidth="8.7109375" defaultRowHeight="20.100000000000001"/>
  <cols>
    <col min="1" max="1" width="8.7109375" style="10"/>
    <col min="2" max="2" width="15.7109375" style="10" customWidth="1"/>
    <col min="3" max="3" width="13.140625" style="10" bestFit="1" customWidth="1"/>
    <col min="4" max="4" width="11.5703125" style="10" customWidth="1"/>
    <col min="5" max="5" width="11.85546875" style="10" bestFit="1" customWidth="1"/>
    <col min="6" max="6" width="13.140625" style="10" bestFit="1" customWidth="1"/>
    <col min="7" max="7" width="11.5703125" style="10" customWidth="1"/>
    <col min="8" max="8" width="18.7109375" style="10" bestFit="1" customWidth="1"/>
    <col min="9" max="9" width="13.140625" style="10" bestFit="1" customWidth="1"/>
    <col min="10" max="12" width="11.5703125" style="10" customWidth="1"/>
    <col min="13" max="16384" width="8.7109375" style="10"/>
  </cols>
  <sheetData>
    <row r="1" spans="1:13" ht="30" customHeight="1">
      <c r="A1" s="33"/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39"/>
    </row>
    <row r="2" spans="1:13">
      <c r="A2" s="34"/>
      <c r="M2" s="35"/>
    </row>
    <row r="3" spans="1:13">
      <c r="A3" s="34"/>
      <c r="B3" s="43" t="s">
        <v>1</v>
      </c>
      <c r="C3" s="43"/>
      <c r="D3" s="11"/>
      <c r="E3" s="43" t="s">
        <v>2</v>
      </c>
      <c r="F3" s="43"/>
      <c r="G3" s="11"/>
      <c r="H3" s="43" t="s">
        <v>3</v>
      </c>
      <c r="I3" s="43"/>
      <c r="J3" s="11"/>
      <c r="K3" s="43" t="s">
        <v>4</v>
      </c>
      <c r="L3" s="43"/>
      <c r="M3" s="35"/>
    </row>
    <row r="4" spans="1:13" ht="48" customHeight="1">
      <c r="A4" s="34"/>
      <c r="B4" s="44">
        <f>COUNTA(tbPlanoEstrategico[ID])</f>
        <v>2</v>
      </c>
      <c r="C4" s="44"/>
      <c r="D4" s="11"/>
      <c r="E4" s="44">
        <f>COUNTIFS(tbPlanoEstrategico[ID],"&lt;&gt;",tbPlanoEstrategico[Status],"&lt;&gt;Concluído")</f>
        <v>2</v>
      </c>
      <c r="F4" s="44"/>
      <c r="G4" s="11"/>
      <c r="H4" s="44">
        <f>COUNTIF(tbPlanoEstrategico[Prioridade],"Crítico")</f>
        <v>0</v>
      </c>
      <c r="I4" s="44"/>
      <c r="J4" s="11"/>
      <c r="K4" s="44">
        <f ca="1">COUNTIF(tbPlanoEstrategico[Farol],"Vermelho")</f>
        <v>0</v>
      </c>
      <c r="L4" s="44"/>
      <c r="M4" s="35"/>
    </row>
    <row r="5" spans="1:13" ht="48" customHeight="1">
      <c r="A5" s="34"/>
      <c r="B5" s="44"/>
      <c r="C5" s="44"/>
      <c r="D5" s="11"/>
      <c r="E5" s="44"/>
      <c r="F5" s="44"/>
      <c r="G5" s="11"/>
      <c r="H5" s="44"/>
      <c r="I5" s="44"/>
      <c r="J5" s="11"/>
      <c r="K5" s="44"/>
      <c r="L5" s="44"/>
      <c r="M5" s="35"/>
    </row>
    <row r="6" spans="1:13">
      <c r="A6" s="34"/>
      <c r="M6" s="35"/>
    </row>
    <row r="7" spans="1:13">
      <c r="A7" s="34"/>
      <c r="B7" s="49" t="s">
        <v>5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35"/>
    </row>
    <row r="8" spans="1:13">
      <c r="A8" s="34"/>
      <c r="B8" s="40" t="str">
        <f ca="1">"O planejamento possui "&amp;COUNTA(tbPlanoEstrategico[ID])&amp;" iniciativas, das quais "&amp;COUNTIFS(tbPlanoEstrategico[ID],"&lt;&gt;",tbPlanoEstrategico[Status],"&lt;&gt;Concluído")&amp;" estão em aberto. Há "&amp;COUNTIF(tbPlanoEstrategico[Prioridade],"Crítico")&amp;" item(ns) de prioridade crítica e "&amp;COUNTIF(tbPlanoEstrategico[Farol],"Vermelho")&amp;" prazo(s) vencido(s). Use o score para ordenar a execução e Dependências para coordenar os handoffs entre áreas."</f>
        <v>O planejamento possui 2 iniciativas, das quais 2 estão em aberto. Há 0 item(ns) de prioridade crítica e 0 prazo(s) vencido(s). Use o score para ordenar a execução e Dependências para coordenar os handoffs entre áreas.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35"/>
    </row>
    <row r="9" spans="1:13">
      <c r="A9" s="34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35"/>
    </row>
    <row r="10" spans="1:13">
      <c r="A10" s="3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35"/>
    </row>
    <row r="11" spans="1:13">
      <c r="A11" s="34"/>
      <c r="M11" s="35"/>
    </row>
    <row r="12" spans="1:13">
      <c r="A12" s="34"/>
      <c r="B12" s="12" t="s">
        <v>6</v>
      </c>
      <c r="C12" s="12" t="s">
        <v>7</v>
      </c>
      <c r="E12" s="12" t="s">
        <v>8</v>
      </c>
      <c r="F12" s="12" t="s">
        <v>7</v>
      </c>
      <c r="H12" s="12" t="s">
        <v>9</v>
      </c>
      <c r="I12" s="12" t="s">
        <v>7</v>
      </c>
      <c r="M12" s="35"/>
    </row>
    <row r="13" spans="1:13">
      <c r="A13" s="34"/>
      <c r="B13" s="10" t="s">
        <v>10</v>
      </c>
      <c r="C13" s="10">
        <f>COUNTIF(tbPlanoEstrategico[Status],B13)</f>
        <v>3</v>
      </c>
      <c r="E13" s="10" t="s">
        <v>11</v>
      </c>
      <c r="F13" s="10">
        <f>COUNTIF(tbPlanoEstrategico[Prioridade],E13)</f>
        <v>0</v>
      </c>
      <c r="H13" s="10" t="str">
        <f>Configurações!E4</f>
        <v>Faturamento</v>
      </c>
      <c r="I13" s="10">
        <f>COUNTIF(tbPlanoEstrategico[Área líder],H13)</f>
        <v>2</v>
      </c>
      <c r="M13" s="35"/>
    </row>
    <row r="14" spans="1:13">
      <c r="A14" s="34"/>
      <c r="B14" s="10" t="s">
        <v>12</v>
      </c>
      <c r="C14" s="10">
        <f>COUNTIF(tbPlanoEstrategico[Status],B14)</f>
        <v>0</v>
      </c>
      <c r="E14" s="10" t="s">
        <v>13</v>
      </c>
      <c r="F14" s="10">
        <f>COUNTIF(tbPlanoEstrategico[Prioridade],E14)</f>
        <v>0</v>
      </c>
      <c r="H14" s="10" t="str">
        <f>Configurações!E5</f>
        <v>CX</v>
      </c>
      <c r="I14" s="10">
        <f>COUNTIF(tbPlanoEstrategico[Área líder],H14)</f>
        <v>0</v>
      </c>
      <c r="M14" s="35"/>
    </row>
    <row r="15" spans="1:13">
      <c r="A15" s="34"/>
      <c r="B15" s="10" t="s">
        <v>14</v>
      </c>
      <c r="C15" s="10">
        <f>COUNTIF(tbPlanoEstrategico[Status],B15)</f>
        <v>0</v>
      </c>
      <c r="E15" s="10" t="s">
        <v>15</v>
      </c>
      <c r="F15" s="10">
        <f>COUNTIF(tbPlanoEstrategico[Prioridade],E15)</f>
        <v>1</v>
      </c>
      <c r="H15" s="10" t="str">
        <f>Configurações!E6</f>
        <v>Operações</v>
      </c>
      <c r="I15" s="10">
        <f>COUNTIF(tbPlanoEstrategico[Área líder],H15)</f>
        <v>0</v>
      </c>
      <c r="M15" s="35"/>
    </row>
    <row r="16" spans="1:13">
      <c r="A16" s="34"/>
      <c r="B16" s="10" t="s">
        <v>16</v>
      </c>
      <c r="C16" s="10">
        <f>COUNTIF(tbPlanoEstrategico[Status],B16)</f>
        <v>0</v>
      </c>
      <c r="E16" s="10" t="s">
        <v>17</v>
      </c>
      <c r="F16" s="10">
        <f>COUNTIF(tbPlanoEstrategico[Prioridade],E16)</f>
        <v>1</v>
      </c>
      <c r="H16" s="10" t="str">
        <f>Configurações!E7</f>
        <v>Setor de cadastro</v>
      </c>
      <c r="I16" s="10">
        <f>COUNTIF(tbPlanoEstrategico[Área líder],H16)</f>
        <v>0</v>
      </c>
      <c r="M16" s="35"/>
    </row>
    <row r="17" spans="1:13">
      <c r="A17" s="34"/>
      <c r="B17" s="10" t="s">
        <v>18</v>
      </c>
      <c r="C17" s="10">
        <f>COUNTIF(tbPlanoEstrategico[Status],B17)</f>
        <v>0</v>
      </c>
      <c r="H17" s="10" t="str">
        <f>Configurações!E8</f>
        <v>Tecnologia</v>
      </c>
      <c r="I17" s="10">
        <f>COUNTIF(tbPlanoEstrategico[Área líder],H17)</f>
        <v>0</v>
      </c>
      <c r="M17" s="35"/>
    </row>
    <row r="18" spans="1:13">
      <c r="A18" s="34"/>
      <c r="B18" s="10" t="s">
        <v>19</v>
      </c>
      <c r="C18" s="10">
        <f>COUNTIF(tbPlanoEstrategico[Status],B18)</f>
        <v>0</v>
      </c>
      <c r="H18" s="10" t="str">
        <f>Configurações!E9</f>
        <v>Financeiro</v>
      </c>
      <c r="I18" s="10">
        <f>COUNTIF(tbPlanoEstrategico[Área líder],H18)</f>
        <v>0</v>
      </c>
      <c r="M18" s="35"/>
    </row>
    <row r="19" spans="1:13">
      <c r="A19" s="34"/>
      <c r="M19" s="35"/>
    </row>
    <row r="20" spans="1:13">
      <c r="A20" s="34"/>
      <c r="M20" s="35"/>
    </row>
    <row r="21" spans="1:13">
      <c r="A21" s="34"/>
      <c r="M21" s="35"/>
    </row>
    <row r="22" spans="1:13">
      <c r="A22" s="34"/>
      <c r="M22" s="35"/>
    </row>
    <row r="23" spans="1:13">
      <c r="A23" s="34"/>
      <c r="M23" s="35"/>
    </row>
    <row r="24" spans="1:13">
      <c r="A24" s="34"/>
      <c r="M24" s="35"/>
    </row>
    <row r="25" spans="1:13">
      <c r="A25" s="34"/>
      <c r="M25" s="35"/>
    </row>
    <row r="26" spans="1:13">
      <c r="A26" s="34"/>
      <c r="M26" s="35"/>
    </row>
    <row r="27" spans="1:13">
      <c r="A27" s="34"/>
      <c r="M27" s="35"/>
    </row>
    <row r="28" spans="1:13">
      <c r="A28" s="34"/>
      <c r="M28" s="35"/>
    </row>
    <row r="29" spans="1:13">
      <c r="A29" s="34"/>
      <c r="M29" s="35"/>
    </row>
    <row r="30" spans="1:13">
      <c r="A30" s="34"/>
      <c r="M30" s="35"/>
    </row>
    <row r="31" spans="1:13">
      <c r="A31" s="34"/>
      <c r="M31" s="35"/>
    </row>
    <row r="32" spans="1:13">
      <c r="A32" s="34"/>
      <c r="M32" s="35"/>
    </row>
    <row r="33" spans="1:13">
      <c r="A33" s="34"/>
      <c r="M33" s="35"/>
    </row>
    <row r="34" spans="1:13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8"/>
    </row>
  </sheetData>
  <mergeCells count="11">
    <mergeCell ref="B7:L7"/>
    <mergeCell ref="B8:L10"/>
    <mergeCell ref="B1:L1"/>
    <mergeCell ref="B3:C3"/>
    <mergeCell ref="B4:C5"/>
    <mergeCell ref="E3:F3"/>
    <mergeCell ref="E4:F5"/>
    <mergeCell ref="H3:I3"/>
    <mergeCell ref="H4:I5"/>
    <mergeCell ref="K3:L3"/>
    <mergeCell ref="K4:L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448"/>
  <sheetViews>
    <sheetView tabSelected="1" topLeftCell="E1" zoomScaleNormal="100" workbookViewId="0">
      <selection activeCell="J2" sqref="J2"/>
    </sheetView>
  </sheetViews>
  <sheetFormatPr defaultColWidth="8.7109375" defaultRowHeight="14.45"/>
  <cols>
    <col min="1" max="1" width="7.28515625" style="5" bestFit="1" customWidth="1"/>
    <col min="2" max="2" width="12.5703125" style="5" bestFit="1" customWidth="1"/>
    <col min="3" max="3" width="17.42578125" style="5" bestFit="1" customWidth="1"/>
    <col min="4" max="4" width="36.28515625" style="4" bestFit="1" customWidth="1"/>
    <col min="5" max="5" width="35.5703125" style="4" bestFit="1" customWidth="1"/>
    <col min="6" max="6" width="20.7109375" style="5" bestFit="1" customWidth="1"/>
    <col min="7" max="7" width="11.85546875" style="5" bestFit="1" customWidth="1"/>
    <col min="8" max="8" width="12.140625" style="5" bestFit="1" customWidth="1"/>
    <col min="9" max="9" width="10.85546875" style="5" bestFit="1" customWidth="1"/>
    <col min="10" max="10" width="9.42578125" style="5" bestFit="1" customWidth="1"/>
    <col min="11" max="11" width="13.140625" style="5" bestFit="1" customWidth="1"/>
    <col min="12" max="12" width="10" style="5" bestFit="1" customWidth="1"/>
    <col min="13" max="13" width="14.5703125" style="5" bestFit="1" customWidth="1"/>
    <col min="14" max="15" width="9.7109375" style="5" bestFit="1" customWidth="1"/>
    <col min="16" max="16" width="19.85546875" style="5" customWidth="1"/>
    <col min="17" max="17" width="15.85546875" style="5" bestFit="1" customWidth="1"/>
    <col min="18" max="18" width="19.7109375" style="5" bestFit="1" customWidth="1"/>
    <col min="19" max="19" width="9.28515625" style="5" bestFit="1" customWidth="1"/>
    <col min="20" max="16384" width="8.7109375" style="4"/>
  </cols>
  <sheetData>
    <row r="1" spans="1:19" ht="21.95" customHeight="1">
      <c r="A1" s="13" t="s">
        <v>20</v>
      </c>
      <c r="B1" s="14" t="s">
        <v>9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8</v>
      </c>
      <c r="L1" s="14" t="s">
        <v>6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34</v>
      </c>
      <c r="S1" s="15" t="s">
        <v>35</v>
      </c>
    </row>
    <row r="2" spans="1:19" ht="101.45">
      <c r="A2" s="32" t="str">
        <f>IF(tbPlanoEstrategico[[#This Row],[Área líder]]="","","P.E-"&amp;TEXT(ROW()-1,"000"))</f>
        <v>P.E-001</v>
      </c>
      <c r="B2" s="19" t="s">
        <v>36</v>
      </c>
      <c r="C2" s="19" t="s">
        <v>37</v>
      </c>
      <c r="D2" s="18" t="s">
        <v>38</v>
      </c>
      <c r="E2" s="18" t="s">
        <v>39</v>
      </c>
      <c r="F2" s="19" t="s">
        <v>40</v>
      </c>
      <c r="G2" s="20">
        <v>5</v>
      </c>
      <c r="H2" s="20">
        <v>2</v>
      </c>
      <c r="I2" s="20">
        <v>3</v>
      </c>
      <c r="J2" s="20">
        <f>IF(OR(tbPlanoEstrategico[[#This Row],[Impacto]]="",tbPlanoEstrategico[[#This Row],[Urgência]]="",tbPlanoEstrategico[[#This Row],[Esforço]]=""),"",tbPlanoEstrategico[[#This Row],[Impacto]]*tbPlanoEstrategico[[#This Row],[Urgência]]*(6-tbPlanoEstrategico[[#This Row],[Esforço]]))</f>
        <v>30</v>
      </c>
      <c r="K2" s="19" t="str">
        <f>IF(tbPlanoEstrategico[[#This Row],[Score]]="","",IF(tbPlanoEstrategico[[#This Row],[Score]]&gt;=80,"Crítico",IF(tbPlanoEstrategico[[#This Row],[Score]]&gt;=45,"Alto",IF(tbPlanoEstrategico[[#This Row],[Score]]&gt;=20,"Médio","Baixo"))))</f>
        <v>Médio</v>
      </c>
      <c r="L2" s="19" t="s">
        <v>10</v>
      </c>
      <c r="M2" s="19"/>
      <c r="N2" s="21"/>
      <c r="O2" s="21"/>
      <c r="P2" s="22"/>
      <c r="Q2" s="22"/>
      <c r="R2" s="21"/>
      <c r="S2" s="23" t="str">
        <f ca="1">IF(tbPlanoEstrategico[[#This Row],[Status]]="Concluído","Verde",IF(tbPlanoEstrategico[[#This Row],[Prazo]]="","Cinza",IF(tbPlanoEstrategico[[#This Row],[Prazo]]&lt;TODAY(),"Vermelho",IF(tbPlanoEstrategico[[#This Row],[Prazo]]&lt;=TODAY()+7,"Amarelo","Verde"))))</f>
        <v>Cinza</v>
      </c>
    </row>
    <row r="3" spans="1:19" ht="84.95" customHeight="1">
      <c r="A3" s="16" t="str">
        <f>IF(tbPlanoEstrategico[[#This Row],[Área líder]]="","","P.E-"&amp;TEXT(ROW()-1,"000"))</f>
        <v>P.E-002</v>
      </c>
      <c r="B3" s="17" t="s">
        <v>36</v>
      </c>
      <c r="C3" s="17" t="s">
        <v>41</v>
      </c>
      <c r="D3" s="18" t="s">
        <v>42</v>
      </c>
      <c r="E3" s="18" t="s">
        <v>43</v>
      </c>
      <c r="F3" s="19" t="s">
        <v>40</v>
      </c>
      <c r="G3" s="20">
        <v>1</v>
      </c>
      <c r="H3" s="20">
        <v>2</v>
      </c>
      <c r="I3" s="20">
        <v>1</v>
      </c>
      <c r="J3" s="20">
        <f>IF(OR(tbPlanoEstrategico[[#This Row],[Impacto]]="",tbPlanoEstrategico[[#This Row],[Urgência]]="",tbPlanoEstrategico[[#This Row],[Esforço]]=""),"",tbPlanoEstrategico[[#This Row],[Impacto]]*tbPlanoEstrategico[[#This Row],[Urgência]]*(6-tbPlanoEstrategico[[#This Row],[Esforço]]))</f>
        <v>10</v>
      </c>
      <c r="K3" s="19" t="str">
        <f>IF(tbPlanoEstrategico[[#This Row],[Score]]="","",IF(tbPlanoEstrategico[[#This Row],[Score]]&gt;=80,"Crítico",IF(tbPlanoEstrategico[[#This Row],[Score]]&gt;=45,"Alto",IF(tbPlanoEstrategico[[#This Row],[Score]]&gt;=20,"Médio","Baixo"))))</f>
        <v>Baixo</v>
      </c>
      <c r="L3" s="19" t="s">
        <v>10</v>
      </c>
      <c r="M3" s="19"/>
      <c r="N3" s="21"/>
      <c r="O3" s="21"/>
      <c r="P3" s="22"/>
      <c r="Q3" s="22"/>
      <c r="R3" s="21"/>
      <c r="S3" s="23" t="str">
        <f ca="1">IF(tbPlanoEstrategico[[#This Row],[Status]]="Concluído","Verde",IF(tbPlanoEstrategico[[#This Row],[Prazo]]="","Cinza",IF(tbPlanoEstrategico[[#This Row],[Prazo]]&lt;TODAY(),"Vermelho",IF(tbPlanoEstrategico[[#This Row],[Prazo]]&lt;=TODAY()+7,"Amarelo","Verde"))))</f>
        <v>Cinza</v>
      </c>
    </row>
    <row r="4" spans="1:19">
      <c r="A4" s="16"/>
      <c r="B4" s="17"/>
      <c r="C4" s="17"/>
      <c r="D4" s="18"/>
      <c r="E4" s="18"/>
      <c r="F4" s="19"/>
      <c r="G4" s="20"/>
      <c r="H4" s="20"/>
      <c r="I4" s="20"/>
      <c r="J4" s="20" t="str">
        <f>IF(OR(tbPlanoEstrategico[[#This Row],[Impacto]]="",tbPlanoEstrategico[[#This Row],[Urgência]]="",tbPlanoEstrategico[[#This Row],[Esforço]]=""),"",tbPlanoEstrategico[[#This Row],[Impacto]]*tbPlanoEstrategico[[#This Row],[Urgência]]*(6-tbPlanoEstrategico[[#This Row],[Esforço]]))</f>
        <v/>
      </c>
      <c r="K4" s="19" t="str">
        <f>IF(tbPlanoEstrategico[[#This Row],[Score]]="","",IF(tbPlanoEstrategico[[#This Row],[Score]]&gt;=80,"Crítico",IF(tbPlanoEstrategico[[#This Row],[Score]]&gt;=45,"Alto",IF(tbPlanoEstrategico[[#This Row],[Score]]&gt;=20,"Médio","Baixo"))))</f>
        <v/>
      </c>
      <c r="L4" s="19" t="s">
        <v>10</v>
      </c>
      <c r="M4" s="19"/>
      <c r="N4" s="21"/>
      <c r="O4" s="21"/>
      <c r="P4" s="22"/>
      <c r="Q4" s="22"/>
      <c r="R4" s="21"/>
      <c r="S4" s="23" t="str">
        <f ca="1">IF(tbPlanoEstrategico[[#This Row],[Status]]="Concluído","Verde",IF(tbPlanoEstrategico[[#This Row],[Prazo]]="","Cinza",IF(tbPlanoEstrategico[[#This Row],[Prazo]]&lt;TODAY(),"Vermelho",IF(tbPlanoEstrategico[[#This Row],[Prazo]]&lt;=TODAY()+7,"Amarelo","Verde"))))</f>
        <v>Cinza</v>
      </c>
    </row>
    <row r="5" spans="1:19">
      <c r="A5" s="24"/>
      <c r="B5" s="25"/>
      <c r="C5" s="25"/>
      <c r="D5" s="26"/>
      <c r="E5" s="26"/>
      <c r="F5" s="27"/>
      <c r="G5" s="28"/>
      <c r="H5" s="28"/>
      <c r="I5" s="28"/>
      <c r="J5" s="28" t="str">
        <f>IF(OR(tbPlanoEstrategico[[#This Row],[Impacto]]="",tbPlanoEstrategico[[#This Row],[Urgência]]="",tbPlanoEstrategico[[#This Row],[Esforço]]=""),"",tbPlanoEstrategico[[#This Row],[Impacto]]*tbPlanoEstrategico[[#This Row],[Urgência]]*(6-tbPlanoEstrategico[[#This Row],[Esforço]]))</f>
        <v/>
      </c>
      <c r="K5" s="27" t="str">
        <f>IF(tbPlanoEstrategico[[#This Row],[Score]]="","",IF(tbPlanoEstrategico[[#This Row],[Score]]&gt;=80,"Crítico",IF(tbPlanoEstrategico[[#This Row],[Score]]&gt;=45,"Alto",IF(tbPlanoEstrategico[[#This Row],[Score]]&gt;=20,"Médio","Baixo"))))</f>
        <v/>
      </c>
      <c r="L5" s="27"/>
      <c r="M5" s="27"/>
      <c r="N5" s="29"/>
      <c r="O5" s="29"/>
      <c r="P5" s="30"/>
      <c r="Q5" s="30"/>
      <c r="R5" s="29"/>
      <c r="S5" s="31" t="str">
        <f ca="1">IF(tbPlanoEstrategico[[#This Row],[Status]]="Concluído","Verde",IF(tbPlanoEstrategico[[#This Row],[Prazo]]="","Cinza",IF(tbPlanoEstrategico[[#This Row],[Prazo]]&lt;TODAY(),"Vermelho",IF(tbPlanoEstrategico[[#This Row],[Prazo]]&lt;=TODAY()+7,"Amarelo","Verde"))))</f>
        <v>Cinza</v>
      </c>
    </row>
    <row r="6" spans="1:19">
      <c r="D6" s="6"/>
      <c r="E6" s="6"/>
      <c r="G6" s="7"/>
      <c r="H6" s="7"/>
      <c r="I6" s="7"/>
      <c r="J6" s="7"/>
      <c r="N6" s="8"/>
      <c r="O6" s="8"/>
      <c r="P6" s="9"/>
      <c r="Q6" s="9"/>
      <c r="R6" s="8"/>
    </row>
    <row r="7" spans="1:19">
      <c r="D7" s="6"/>
      <c r="E7" s="6"/>
      <c r="G7" s="7"/>
      <c r="H7" s="7"/>
      <c r="I7" s="7"/>
      <c r="J7" s="7"/>
      <c r="N7" s="8"/>
      <c r="O7" s="8"/>
      <c r="P7" s="9"/>
      <c r="Q7" s="9"/>
      <c r="R7" s="8"/>
    </row>
    <row r="8" spans="1:19">
      <c r="D8" s="6"/>
      <c r="E8" s="6"/>
      <c r="G8" s="7"/>
      <c r="H8" s="7"/>
      <c r="I8" s="7"/>
      <c r="J8" s="7"/>
      <c r="N8" s="8"/>
      <c r="O8" s="8"/>
      <c r="P8" s="9"/>
      <c r="Q8" s="9"/>
      <c r="R8" s="8"/>
    </row>
    <row r="9" spans="1:19">
      <c r="D9" s="6"/>
      <c r="E9" s="6"/>
      <c r="G9" s="7"/>
      <c r="H9" s="7"/>
      <c r="I9" s="7"/>
      <c r="J9" s="7"/>
      <c r="N9" s="8"/>
      <c r="O9" s="8"/>
      <c r="P9" s="9"/>
      <c r="Q9" s="9"/>
      <c r="R9" s="8"/>
    </row>
    <row r="10" spans="1:19">
      <c r="D10" s="6"/>
      <c r="E10" s="6"/>
      <c r="G10" s="7"/>
      <c r="H10" s="7"/>
      <c r="I10" s="7"/>
      <c r="J10" s="7"/>
      <c r="N10" s="8"/>
      <c r="O10" s="8"/>
      <c r="P10" s="9"/>
      <c r="Q10" s="9"/>
      <c r="R10" s="8"/>
    </row>
    <row r="11" spans="1:19">
      <c r="D11" s="6"/>
      <c r="E11" s="6"/>
      <c r="G11" s="7"/>
      <c r="H11" s="7"/>
      <c r="I11" s="7"/>
      <c r="J11" s="7"/>
      <c r="N11" s="8"/>
      <c r="O11" s="8"/>
      <c r="P11" s="9"/>
      <c r="Q11" s="9"/>
      <c r="R11" s="8"/>
    </row>
    <row r="12" spans="1:19">
      <c r="D12" s="6"/>
      <c r="E12" s="6"/>
      <c r="G12" s="7"/>
      <c r="H12" s="7"/>
      <c r="I12" s="7"/>
      <c r="J12" s="7"/>
      <c r="N12" s="8"/>
      <c r="O12" s="8"/>
      <c r="P12" s="9"/>
      <c r="Q12" s="9"/>
      <c r="R12" s="8"/>
    </row>
    <row r="13" spans="1:19">
      <c r="D13" s="6"/>
      <c r="E13" s="6"/>
      <c r="G13" s="7"/>
      <c r="H13" s="7"/>
      <c r="I13" s="7"/>
      <c r="J13" s="7"/>
      <c r="N13" s="8"/>
      <c r="O13" s="8"/>
      <c r="P13" s="9"/>
      <c r="Q13" s="9"/>
      <c r="R13" s="8"/>
    </row>
    <row r="14" spans="1:19">
      <c r="D14" s="6"/>
      <c r="E14" s="6"/>
      <c r="G14" s="7"/>
      <c r="H14" s="7"/>
      <c r="I14" s="7"/>
      <c r="J14" s="7"/>
      <c r="N14" s="8"/>
      <c r="O14" s="8"/>
      <c r="P14" s="9"/>
      <c r="Q14" s="9"/>
      <c r="R14" s="8"/>
    </row>
    <row r="15" spans="1:19">
      <c r="D15" s="6"/>
      <c r="E15" s="6"/>
      <c r="G15" s="7"/>
      <c r="H15" s="7"/>
      <c r="I15" s="7"/>
      <c r="J15" s="7"/>
      <c r="N15" s="8"/>
      <c r="O15" s="8"/>
      <c r="P15" s="9"/>
      <c r="Q15" s="9"/>
      <c r="R15" s="8"/>
    </row>
    <row r="16" spans="1:19">
      <c r="D16" s="6"/>
      <c r="E16" s="6"/>
      <c r="G16" s="7"/>
      <c r="H16" s="7"/>
      <c r="I16" s="7"/>
      <c r="J16" s="7"/>
      <c r="N16" s="8"/>
      <c r="O16" s="8"/>
      <c r="P16" s="9"/>
      <c r="Q16" s="9"/>
      <c r="R16" s="8"/>
    </row>
    <row r="17" spans="4:18">
      <c r="D17" s="6"/>
      <c r="E17" s="6"/>
      <c r="G17" s="7"/>
      <c r="H17" s="7"/>
      <c r="I17" s="7"/>
      <c r="J17" s="7"/>
      <c r="N17" s="8"/>
      <c r="O17" s="8"/>
      <c r="P17" s="9"/>
      <c r="Q17" s="9"/>
      <c r="R17" s="8"/>
    </row>
    <row r="18" spans="4:18">
      <c r="D18" s="6"/>
      <c r="E18" s="6"/>
      <c r="G18" s="7"/>
      <c r="H18" s="7"/>
      <c r="I18" s="7"/>
      <c r="J18" s="7"/>
      <c r="N18" s="8"/>
      <c r="O18" s="8"/>
      <c r="P18" s="9"/>
      <c r="Q18" s="9"/>
      <c r="R18" s="8"/>
    </row>
    <row r="19" spans="4:18">
      <c r="D19" s="6"/>
      <c r="E19" s="6"/>
      <c r="G19" s="7"/>
      <c r="H19" s="7"/>
      <c r="I19" s="7"/>
      <c r="J19" s="7"/>
      <c r="N19" s="8"/>
      <c r="O19" s="8"/>
      <c r="P19" s="9"/>
      <c r="Q19" s="9"/>
      <c r="R19" s="8"/>
    </row>
    <row r="20" spans="4:18">
      <c r="D20" s="6"/>
      <c r="E20" s="6"/>
      <c r="G20" s="7"/>
      <c r="H20" s="7"/>
      <c r="I20" s="7"/>
      <c r="J20" s="7"/>
      <c r="N20" s="8"/>
      <c r="O20" s="8"/>
      <c r="P20" s="9"/>
      <c r="Q20" s="9"/>
      <c r="R20" s="8"/>
    </row>
    <row r="21" spans="4:18">
      <c r="D21" s="6"/>
      <c r="E21" s="6"/>
      <c r="G21" s="7"/>
      <c r="H21" s="7"/>
      <c r="I21" s="7"/>
      <c r="J21" s="7"/>
      <c r="N21" s="8"/>
      <c r="O21" s="8"/>
      <c r="P21" s="9"/>
      <c r="Q21" s="9"/>
      <c r="R21" s="8"/>
    </row>
    <row r="22" spans="4:18">
      <c r="D22" s="6"/>
      <c r="E22" s="6"/>
      <c r="G22" s="7"/>
      <c r="H22" s="7"/>
      <c r="I22" s="7"/>
      <c r="J22" s="7"/>
      <c r="N22" s="8"/>
      <c r="O22" s="8"/>
      <c r="P22" s="9"/>
      <c r="Q22" s="9"/>
      <c r="R22" s="8"/>
    </row>
    <row r="23" spans="4:18">
      <c r="D23" s="6"/>
      <c r="E23" s="6"/>
      <c r="G23" s="7"/>
      <c r="H23" s="7"/>
      <c r="I23" s="7"/>
      <c r="J23" s="7"/>
      <c r="N23" s="8"/>
      <c r="O23" s="8"/>
      <c r="P23" s="9"/>
      <c r="Q23" s="9"/>
      <c r="R23" s="8"/>
    </row>
    <row r="24" spans="4:18">
      <c r="D24" s="6"/>
      <c r="E24" s="6"/>
      <c r="G24" s="7"/>
      <c r="H24" s="7"/>
      <c r="I24" s="7"/>
      <c r="J24" s="7"/>
      <c r="N24" s="8"/>
      <c r="O24" s="8"/>
      <c r="P24" s="9"/>
      <c r="Q24" s="9"/>
      <c r="R24" s="8"/>
    </row>
    <row r="25" spans="4:18">
      <c r="D25" s="6"/>
      <c r="E25" s="6"/>
      <c r="G25" s="7"/>
      <c r="H25" s="7"/>
      <c r="I25" s="7"/>
      <c r="J25" s="7"/>
      <c r="N25" s="8"/>
      <c r="O25" s="8"/>
      <c r="P25" s="9"/>
      <c r="Q25" s="9"/>
      <c r="R25" s="8"/>
    </row>
    <row r="26" spans="4:18">
      <c r="D26" s="6"/>
      <c r="E26" s="6"/>
      <c r="G26" s="7"/>
      <c r="H26" s="7"/>
      <c r="I26" s="7"/>
      <c r="J26" s="7"/>
      <c r="N26" s="8"/>
      <c r="O26" s="8"/>
      <c r="P26" s="9"/>
      <c r="Q26" s="9"/>
      <c r="R26" s="8"/>
    </row>
    <row r="27" spans="4:18">
      <c r="D27" s="6"/>
      <c r="E27" s="6"/>
      <c r="G27" s="7"/>
      <c r="H27" s="7"/>
      <c r="I27" s="7"/>
      <c r="J27" s="7"/>
      <c r="N27" s="8"/>
      <c r="O27" s="8"/>
      <c r="P27" s="9"/>
      <c r="Q27" s="9"/>
      <c r="R27" s="8"/>
    </row>
    <row r="28" spans="4:18">
      <c r="D28" s="6"/>
      <c r="E28" s="6"/>
      <c r="G28" s="7"/>
      <c r="H28" s="7"/>
      <c r="I28" s="7"/>
      <c r="J28" s="7"/>
      <c r="N28" s="8"/>
      <c r="O28" s="8"/>
      <c r="P28" s="9"/>
      <c r="Q28" s="9"/>
      <c r="R28" s="8"/>
    </row>
    <row r="29" spans="4:18">
      <c r="D29" s="6"/>
      <c r="E29" s="6"/>
      <c r="G29" s="7"/>
      <c r="H29" s="7"/>
      <c r="I29" s="7"/>
      <c r="J29" s="7"/>
      <c r="N29" s="8"/>
      <c r="O29" s="8"/>
      <c r="P29" s="9"/>
      <c r="Q29" s="9"/>
      <c r="R29" s="8"/>
    </row>
    <row r="30" spans="4:18">
      <c r="D30" s="6"/>
      <c r="E30" s="6"/>
      <c r="G30" s="7"/>
      <c r="H30" s="7"/>
      <c r="I30" s="7"/>
      <c r="J30" s="7"/>
      <c r="N30" s="8"/>
      <c r="O30" s="8"/>
      <c r="P30" s="9"/>
      <c r="Q30" s="9"/>
      <c r="R30" s="8"/>
    </row>
    <row r="31" spans="4:18">
      <c r="D31" s="6"/>
      <c r="E31" s="6"/>
      <c r="G31" s="7"/>
      <c r="H31" s="7"/>
      <c r="I31" s="7"/>
      <c r="J31" s="7"/>
      <c r="N31" s="8"/>
      <c r="O31" s="8"/>
      <c r="P31" s="9"/>
      <c r="Q31" s="9"/>
      <c r="R31" s="8"/>
    </row>
    <row r="32" spans="4:18">
      <c r="D32" s="6"/>
      <c r="E32" s="6"/>
      <c r="G32" s="7"/>
      <c r="H32" s="7"/>
      <c r="I32" s="7"/>
      <c r="J32" s="7"/>
      <c r="N32" s="8"/>
      <c r="O32" s="8"/>
      <c r="P32" s="9"/>
      <c r="Q32" s="9"/>
      <c r="R32" s="8"/>
    </row>
    <row r="33" spans="4:18">
      <c r="D33" s="6"/>
      <c r="E33" s="6"/>
      <c r="G33" s="7"/>
      <c r="H33" s="7"/>
      <c r="I33" s="7"/>
      <c r="J33" s="7"/>
      <c r="N33" s="8"/>
      <c r="O33" s="8"/>
      <c r="P33" s="9"/>
      <c r="Q33" s="9"/>
      <c r="R33" s="8"/>
    </row>
    <row r="34" spans="4:18">
      <c r="D34" s="6"/>
      <c r="E34" s="6"/>
      <c r="G34" s="7"/>
      <c r="H34" s="7"/>
      <c r="I34" s="7"/>
      <c r="J34" s="7"/>
      <c r="N34" s="8"/>
      <c r="O34" s="8"/>
      <c r="P34" s="9"/>
      <c r="Q34" s="9"/>
      <c r="R34" s="8"/>
    </row>
    <row r="35" spans="4:18">
      <c r="D35" s="6"/>
      <c r="E35" s="6"/>
      <c r="G35" s="7"/>
      <c r="H35" s="7"/>
      <c r="I35" s="7"/>
      <c r="J35" s="7"/>
      <c r="N35" s="8"/>
      <c r="O35" s="8"/>
      <c r="P35" s="9"/>
      <c r="Q35" s="9"/>
      <c r="R35" s="8"/>
    </row>
    <row r="36" spans="4:18">
      <c r="D36" s="6"/>
      <c r="E36" s="6"/>
      <c r="G36" s="7"/>
      <c r="H36" s="7"/>
      <c r="I36" s="7"/>
      <c r="J36" s="7"/>
      <c r="N36" s="8"/>
      <c r="O36" s="8"/>
      <c r="P36" s="9"/>
      <c r="Q36" s="9"/>
      <c r="R36" s="8"/>
    </row>
    <row r="37" spans="4:18">
      <c r="D37" s="6"/>
      <c r="E37" s="6"/>
      <c r="G37" s="7"/>
      <c r="H37" s="7"/>
      <c r="I37" s="7"/>
      <c r="J37" s="7"/>
      <c r="N37" s="8"/>
      <c r="O37" s="8"/>
      <c r="P37" s="9"/>
      <c r="Q37" s="9"/>
      <c r="R37" s="8"/>
    </row>
    <row r="38" spans="4:18">
      <c r="D38" s="6"/>
      <c r="E38" s="6"/>
      <c r="G38" s="7"/>
      <c r="H38" s="7"/>
      <c r="I38" s="7"/>
      <c r="J38" s="7"/>
      <c r="N38" s="8"/>
      <c r="O38" s="8"/>
      <c r="P38" s="9"/>
      <c r="Q38" s="9"/>
      <c r="R38" s="8"/>
    </row>
    <row r="39" spans="4:18">
      <c r="D39" s="6"/>
      <c r="E39" s="6"/>
      <c r="G39" s="7"/>
      <c r="H39" s="7"/>
      <c r="I39" s="7"/>
      <c r="J39" s="7"/>
      <c r="N39" s="8"/>
      <c r="O39" s="8"/>
      <c r="P39" s="9"/>
      <c r="Q39" s="9"/>
      <c r="R39" s="8"/>
    </row>
    <row r="40" spans="4:18">
      <c r="D40" s="6"/>
      <c r="E40" s="6"/>
      <c r="G40" s="7"/>
      <c r="H40" s="7"/>
      <c r="I40" s="7"/>
      <c r="J40" s="7"/>
      <c r="N40" s="8"/>
      <c r="O40" s="8"/>
      <c r="P40" s="9"/>
      <c r="Q40" s="9"/>
      <c r="R40" s="8"/>
    </row>
    <row r="41" spans="4:18">
      <c r="D41" s="6"/>
      <c r="E41" s="6"/>
      <c r="G41" s="7"/>
      <c r="H41" s="7"/>
      <c r="I41" s="7"/>
      <c r="J41" s="7"/>
      <c r="N41" s="8"/>
      <c r="O41" s="8"/>
      <c r="P41" s="9"/>
      <c r="Q41" s="9"/>
      <c r="R41" s="8"/>
    </row>
    <row r="42" spans="4:18">
      <c r="D42" s="6"/>
      <c r="E42" s="6"/>
      <c r="G42" s="7"/>
      <c r="H42" s="7"/>
      <c r="I42" s="7"/>
      <c r="J42" s="7"/>
      <c r="N42" s="8"/>
      <c r="O42" s="8"/>
      <c r="P42" s="9"/>
      <c r="Q42" s="9"/>
      <c r="R42" s="8"/>
    </row>
    <row r="43" spans="4:18">
      <c r="D43" s="6"/>
      <c r="E43" s="6"/>
      <c r="G43" s="7"/>
      <c r="H43" s="7"/>
      <c r="I43" s="7"/>
      <c r="J43" s="7"/>
      <c r="N43" s="8"/>
      <c r="O43" s="8"/>
      <c r="P43" s="9"/>
      <c r="Q43" s="9"/>
      <c r="R43" s="8"/>
    </row>
    <row r="44" spans="4:18">
      <c r="D44" s="6"/>
      <c r="E44" s="6"/>
      <c r="G44" s="7"/>
      <c r="H44" s="7"/>
      <c r="I44" s="7"/>
      <c r="J44" s="7"/>
      <c r="N44" s="8"/>
      <c r="O44" s="8"/>
      <c r="P44" s="9"/>
      <c r="Q44" s="9"/>
      <c r="R44" s="8"/>
    </row>
    <row r="45" spans="4:18">
      <c r="D45" s="6"/>
      <c r="E45" s="6"/>
      <c r="G45" s="7"/>
      <c r="H45" s="7"/>
      <c r="I45" s="7"/>
      <c r="J45" s="7"/>
      <c r="N45" s="8"/>
      <c r="O45" s="8"/>
      <c r="P45" s="9"/>
      <c r="Q45" s="9"/>
      <c r="R45" s="8"/>
    </row>
    <row r="46" spans="4:18">
      <c r="D46" s="6"/>
      <c r="E46" s="6"/>
      <c r="G46" s="7"/>
      <c r="H46" s="7"/>
      <c r="I46" s="7"/>
      <c r="J46" s="7"/>
      <c r="N46" s="8"/>
      <c r="O46" s="8"/>
      <c r="P46" s="9"/>
      <c r="Q46" s="9"/>
      <c r="R46" s="8"/>
    </row>
    <row r="47" spans="4:18">
      <c r="D47" s="6"/>
      <c r="E47" s="6"/>
      <c r="G47" s="7"/>
      <c r="H47" s="7"/>
      <c r="I47" s="7"/>
      <c r="J47" s="7"/>
      <c r="N47" s="8"/>
      <c r="O47" s="8"/>
      <c r="P47" s="9"/>
      <c r="Q47" s="9"/>
      <c r="R47" s="8"/>
    </row>
    <row r="48" spans="4:18">
      <c r="D48" s="6"/>
      <c r="E48" s="6"/>
      <c r="G48" s="7"/>
      <c r="H48" s="7"/>
      <c r="I48" s="7"/>
      <c r="J48" s="7"/>
      <c r="N48" s="8"/>
      <c r="O48" s="8"/>
      <c r="P48" s="9"/>
      <c r="Q48" s="9"/>
      <c r="R48" s="8"/>
    </row>
    <row r="49" spans="4:18">
      <c r="D49" s="6"/>
      <c r="E49" s="6"/>
      <c r="G49" s="7"/>
      <c r="H49" s="7"/>
      <c r="I49" s="7"/>
      <c r="J49" s="7"/>
      <c r="N49" s="8"/>
      <c r="O49" s="8"/>
      <c r="P49" s="9"/>
      <c r="Q49" s="9"/>
      <c r="R49" s="8"/>
    </row>
    <row r="50" spans="4:18">
      <c r="D50" s="6"/>
      <c r="E50" s="6"/>
      <c r="G50" s="7"/>
      <c r="H50" s="7"/>
      <c r="I50" s="7"/>
      <c r="J50" s="7"/>
      <c r="N50" s="8"/>
      <c r="O50" s="8"/>
      <c r="P50" s="9"/>
      <c r="Q50" s="9"/>
      <c r="R50" s="8"/>
    </row>
    <row r="51" spans="4:18">
      <c r="D51" s="6"/>
      <c r="E51" s="6"/>
      <c r="G51" s="7"/>
      <c r="H51" s="7"/>
      <c r="I51" s="7"/>
      <c r="J51" s="7"/>
      <c r="N51" s="8"/>
      <c r="O51" s="8"/>
      <c r="P51" s="9"/>
      <c r="Q51" s="9"/>
      <c r="R51" s="8"/>
    </row>
    <row r="52" spans="4:18">
      <c r="D52" s="6"/>
      <c r="E52" s="6"/>
      <c r="G52" s="7"/>
      <c r="H52" s="7"/>
      <c r="I52" s="7"/>
      <c r="J52" s="7"/>
      <c r="N52" s="8"/>
      <c r="O52" s="8"/>
      <c r="P52" s="9"/>
      <c r="Q52" s="9"/>
      <c r="R52" s="8"/>
    </row>
    <row r="53" spans="4:18">
      <c r="D53" s="6"/>
      <c r="E53" s="6"/>
      <c r="G53" s="7"/>
      <c r="H53" s="7"/>
      <c r="I53" s="7"/>
      <c r="J53" s="7"/>
      <c r="N53" s="8"/>
      <c r="O53" s="8"/>
      <c r="P53" s="9"/>
      <c r="Q53" s="9"/>
      <c r="R53" s="8"/>
    </row>
    <row r="54" spans="4:18">
      <c r="D54" s="6"/>
      <c r="E54" s="6"/>
      <c r="G54" s="7"/>
      <c r="H54" s="7"/>
      <c r="I54" s="7"/>
      <c r="J54" s="7"/>
      <c r="N54" s="8"/>
      <c r="O54" s="8"/>
      <c r="P54" s="9"/>
      <c r="Q54" s="9"/>
      <c r="R54" s="8"/>
    </row>
    <row r="55" spans="4:18">
      <c r="D55" s="6"/>
      <c r="E55" s="6"/>
      <c r="G55" s="7"/>
      <c r="H55" s="7"/>
      <c r="I55" s="7"/>
      <c r="J55" s="7"/>
      <c r="N55" s="8"/>
      <c r="O55" s="8"/>
      <c r="P55" s="9"/>
      <c r="Q55" s="9"/>
      <c r="R55" s="8"/>
    </row>
    <row r="56" spans="4:18">
      <c r="D56" s="6"/>
      <c r="E56" s="6"/>
      <c r="G56" s="7"/>
      <c r="H56" s="7"/>
      <c r="I56" s="7"/>
      <c r="J56" s="7"/>
      <c r="N56" s="8"/>
      <c r="O56" s="8"/>
      <c r="P56" s="9"/>
      <c r="Q56" s="9"/>
      <c r="R56" s="8"/>
    </row>
    <row r="57" spans="4:18">
      <c r="D57" s="6"/>
      <c r="E57" s="6"/>
      <c r="G57" s="7"/>
      <c r="H57" s="7"/>
      <c r="I57" s="7"/>
      <c r="J57" s="7"/>
      <c r="N57" s="8"/>
      <c r="O57" s="8"/>
      <c r="P57" s="9"/>
      <c r="Q57" s="9"/>
      <c r="R57" s="8"/>
    </row>
    <row r="58" spans="4:18">
      <c r="D58" s="6"/>
      <c r="E58" s="6"/>
      <c r="G58" s="7"/>
      <c r="H58" s="7"/>
      <c r="I58" s="7"/>
      <c r="J58" s="7"/>
      <c r="N58" s="8"/>
      <c r="O58" s="8"/>
      <c r="P58" s="9"/>
      <c r="Q58" s="9"/>
      <c r="R58" s="8"/>
    </row>
    <row r="59" spans="4:18">
      <c r="D59" s="6"/>
      <c r="E59" s="6"/>
      <c r="G59" s="7"/>
      <c r="H59" s="7"/>
      <c r="I59" s="7"/>
      <c r="J59" s="7"/>
      <c r="N59" s="8"/>
      <c r="O59" s="8"/>
      <c r="P59" s="9"/>
      <c r="Q59" s="9"/>
      <c r="R59" s="8"/>
    </row>
    <row r="60" spans="4:18">
      <c r="D60" s="6"/>
      <c r="E60" s="6"/>
      <c r="G60" s="7"/>
      <c r="H60" s="7"/>
      <c r="I60" s="7"/>
      <c r="J60" s="7"/>
      <c r="N60" s="8"/>
      <c r="O60" s="8"/>
      <c r="P60" s="9"/>
      <c r="Q60" s="9"/>
      <c r="R60" s="8"/>
    </row>
    <row r="61" spans="4:18">
      <c r="D61" s="6"/>
      <c r="E61" s="6"/>
      <c r="G61" s="7"/>
      <c r="H61" s="7"/>
      <c r="I61" s="7"/>
      <c r="J61" s="7"/>
      <c r="N61" s="8"/>
      <c r="O61" s="8"/>
      <c r="P61" s="9"/>
      <c r="Q61" s="9"/>
      <c r="R61" s="8"/>
    </row>
    <row r="62" spans="4:18">
      <c r="D62" s="6"/>
      <c r="E62" s="6"/>
      <c r="G62" s="7"/>
      <c r="H62" s="7"/>
      <c r="I62" s="7"/>
      <c r="J62" s="7"/>
      <c r="N62" s="8"/>
      <c r="O62" s="8"/>
      <c r="P62" s="9"/>
      <c r="Q62" s="9"/>
      <c r="R62" s="8"/>
    </row>
    <row r="63" spans="4:18">
      <c r="D63" s="6"/>
      <c r="E63" s="6"/>
      <c r="G63" s="7"/>
      <c r="H63" s="7"/>
      <c r="I63" s="7"/>
      <c r="J63" s="7"/>
      <c r="N63" s="8"/>
      <c r="O63" s="8"/>
      <c r="P63" s="9"/>
      <c r="Q63" s="9"/>
      <c r="R63" s="8"/>
    </row>
    <row r="64" spans="4:18">
      <c r="D64" s="6"/>
      <c r="E64" s="6"/>
      <c r="G64" s="7"/>
      <c r="H64" s="7"/>
      <c r="I64" s="7"/>
      <c r="J64" s="7"/>
      <c r="N64" s="8"/>
      <c r="O64" s="8"/>
      <c r="P64" s="9"/>
      <c r="Q64" s="9"/>
      <c r="R64" s="8"/>
    </row>
    <row r="65" spans="4:18">
      <c r="D65" s="6"/>
      <c r="E65" s="6"/>
      <c r="G65" s="7"/>
      <c r="H65" s="7"/>
      <c r="I65" s="7"/>
      <c r="J65" s="7"/>
      <c r="N65" s="8"/>
      <c r="O65" s="8"/>
      <c r="P65" s="9"/>
      <c r="Q65" s="9"/>
      <c r="R65" s="8"/>
    </row>
    <row r="66" spans="4:18">
      <c r="D66" s="6"/>
      <c r="E66" s="6"/>
      <c r="G66" s="7"/>
      <c r="H66" s="7"/>
      <c r="I66" s="7"/>
      <c r="J66" s="7"/>
      <c r="N66" s="8"/>
      <c r="O66" s="8"/>
      <c r="P66" s="9"/>
      <c r="Q66" s="9"/>
      <c r="R66" s="8"/>
    </row>
    <row r="67" spans="4:18">
      <c r="D67" s="6"/>
      <c r="E67" s="6"/>
      <c r="G67" s="7"/>
      <c r="H67" s="7"/>
      <c r="I67" s="7"/>
      <c r="J67" s="7"/>
      <c r="N67" s="8"/>
      <c r="O67" s="8"/>
      <c r="P67" s="9"/>
      <c r="Q67" s="9"/>
      <c r="R67" s="8"/>
    </row>
    <row r="68" spans="4:18">
      <c r="D68" s="6"/>
      <c r="E68" s="6"/>
      <c r="G68" s="7"/>
      <c r="H68" s="7"/>
      <c r="I68" s="7"/>
      <c r="J68" s="7"/>
      <c r="N68" s="8"/>
      <c r="O68" s="8"/>
      <c r="P68" s="9"/>
      <c r="Q68" s="9"/>
      <c r="R68" s="8"/>
    </row>
    <row r="69" spans="4:18">
      <c r="D69" s="6"/>
      <c r="E69" s="6"/>
      <c r="G69" s="7"/>
      <c r="H69" s="7"/>
      <c r="I69" s="7"/>
      <c r="J69" s="7"/>
      <c r="N69" s="8"/>
      <c r="O69" s="8"/>
      <c r="P69" s="9"/>
      <c r="Q69" s="9"/>
      <c r="R69" s="8"/>
    </row>
    <row r="70" spans="4:18">
      <c r="D70" s="6"/>
      <c r="E70" s="6"/>
      <c r="G70" s="7"/>
      <c r="H70" s="7"/>
      <c r="I70" s="7"/>
      <c r="J70" s="7"/>
      <c r="N70" s="8"/>
      <c r="O70" s="8"/>
      <c r="P70" s="9"/>
      <c r="Q70" s="9"/>
      <c r="R70" s="8"/>
    </row>
    <row r="71" spans="4:18">
      <c r="D71" s="6"/>
      <c r="E71" s="6"/>
      <c r="G71" s="7"/>
      <c r="H71" s="7"/>
      <c r="I71" s="7"/>
      <c r="J71" s="7"/>
      <c r="N71" s="8"/>
      <c r="O71" s="8"/>
      <c r="P71" s="9"/>
      <c r="Q71" s="9"/>
      <c r="R71" s="8"/>
    </row>
    <row r="72" spans="4:18">
      <c r="D72" s="6"/>
      <c r="E72" s="6"/>
      <c r="G72" s="7"/>
      <c r="H72" s="7"/>
      <c r="I72" s="7"/>
      <c r="J72" s="7"/>
      <c r="N72" s="8"/>
      <c r="O72" s="8"/>
      <c r="P72" s="9"/>
      <c r="Q72" s="9"/>
      <c r="R72" s="8"/>
    </row>
    <row r="73" spans="4:18">
      <c r="D73" s="6"/>
      <c r="E73" s="6"/>
      <c r="G73" s="7"/>
      <c r="H73" s="7"/>
      <c r="I73" s="7"/>
      <c r="J73" s="7"/>
      <c r="N73" s="8"/>
      <c r="O73" s="8"/>
      <c r="P73" s="9"/>
      <c r="Q73" s="9"/>
      <c r="R73" s="8"/>
    </row>
    <row r="74" spans="4:18">
      <c r="D74" s="6"/>
      <c r="E74" s="6"/>
      <c r="G74" s="7"/>
      <c r="H74" s="7"/>
      <c r="I74" s="7"/>
      <c r="J74" s="7"/>
      <c r="N74" s="8"/>
      <c r="O74" s="8"/>
      <c r="P74" s="9"/>
      <c r="Q74" s="9"/>
      <c r="R74" s="8"/>
    </row>
    <row r="75" spans="4:18">
      <c r="D75" s="6"/>
      <c r="E75" s="6"/>
      <c r="G75" s="7"/>
      <c r="H75" s="7"/>
      <c r="I75" s="7"/>
      <c r="J75" s="7"/>
      <c r="N75" s="8"/>
      <c r="O75" s="8"/>
      <c r="P75" s="9"/>
      <c r="Q75" s="9"/>
      <c r="R75" s="8"/>
    </row>
    <row r="76" spans="4:18">
      <c r="D76" s="6"/>
      <c r="E76" s="6"/>
      <c r="G76" s="7"/>
      <c r="H76" s="7"/>
      <c r="I76" s="7"/>
      <c r="J76" s="7"/>
      <c r="N76" s="8"/>
      <c r="O76" s="8"/>
      <c r="P76" s="9"/>
      <c r="Q76" s="9"/>
      <c r="R76" s="8"/>
    </row>
    <row r="77" spans="4:18">
      <c r="D77" s="6"/>
      <c r="E77" s="6"/>
      <c r="G77" s="7"/>
      <c r="H77" s="7"/>
      <c r="I77" s="7"/>
      <c r="J77" s="7"/>
      <c r="N77" s="8"/>
      <c r="O77" s="8"/>
      <c r="P77" s="9"/>
      <c r="Q77" s="9"/>
      <c r="R77" s="8"/>
    </row>
    <row r="78" spans="4:18">
      <c r="D78" s="6"/>
      <c r="E78" s="6"/>
      <c r="G78" s="7"/>
      <c r="H78" s="7"/>
      <c r="I78" s="7"/>
      <c r="J78" s="7"/>
      <c r="N78" s="8"/>
      <c r="O78" s="8"/>
      <c r="P78" s="9"/>
      <c r="Q78" s="9"/>
      <c r="R78" s="8"/>
    </row>
    <row r="79" spans="4:18">
      <c r="D79" s="6"/>
      <c r="E79" s="6"/>
      <c r="G79" s="7"/>
      <c r="H79" s="7"/>
      <c r="I79" s="7"/>
      <c r="J79" s="7"/>
      <c r="N79" s="8"/>
      <c r="O79" s="8"/>
      <c r="P79" s="9"/>
      <c r="Q79" s="9"/>
      <c r="R79" s="8"/>
    </row>
    <row r="80" spans="4:18">
      <c r="D80" s="6"/>
      <c r="E80" s="6"/>
      <c r="G80" s="7"/>
      <c r="H80" s="7"/>
      <c r="I80" s="7"/>
      <c r="J80" s="7"/>
      <c r="N80" s="8"/>
      <c r="O80" s="8"/>
      <c r="P80" s="9"/>
      <c r="Q80" s="9"/>
      <c r="R80" s="8"/>
    </row>
    <row r="81" spans="4:18">
      <c r="D81" s="6"/>
      <c r="E81" s="6"/>
      <c r="G81" s="7"/>
      <c r="H81" s="7"/>
      <c r="I81" s="7"/>
      <c r="J81" s="7"/>
      <c r="N81" s="8"/>
      <c r="O81" s="8"/>
      <c r="P81" s="9"/>
      <c r="Q81" s="9"/>
      <c r="R81" s="8"/>
    </row>
    <row r="82" spans="4:18">
      <c r="D82" s="6"/>
      <c r="E82" s="6"/>
      <c r="G82" s="7"/>
      <c r="H82" s="7"/>
      <c r="I82" s="7"/>
      <c r="J82" s="7"/>
      <c r="N82" s="8"/>
      <c r="O82" s="8"/>
      <c r="P82" s="9"/>
      <c r="Q82" s="9"/>
      <c r="R82" s="8"/>
    </row>
    <row r="83" spans="4:18">
      <c r="D83" s="6"/>
      <c r="E83" s="6"/>
      <c r="G83" s="7"/>
      <c r="H83" s="7"/>
      <c r="I83" s="7"/>
      <c r="J83" s="7"/>
      <c r="N83" s="8"/>
      <c r="O83" s="8"/>
      <c r="P83" s="9"/>
      <c r="Q83" s="9"/>
      <c r="R83" s="8"/>
    </row>
    <row r="84" spans="4:18">
      <c r="D84" s="6"/>
      <c r="E84" s="6"/>
      <c r="G84" s="7"/>
      <c r="H84" s="7"/>
      <c r="I84" s="7"/>
      <c r="J84" s="7"/>
      <c r="N84" s="8"/>
      <c r="O84" s="8"/>
      <c r="P84" s="9"/>
      <c r="Q84" s="9"/>
      <c r="R84" s="8"/>
    </row>
    <row r="85" spans="4:18">
      <c r="D85" s="6"/>
      <c r="E85" s="6"/>
      <c r="G85" s="7"/>
      <c r="H85" s="7"/>
      <c r="I85" s="7"/>
      <c r="J85" s="7"/>
      <c r="N85" s="8"/>
      <c r="O85" s="8"/>
      <c r="P85" s="9"/>
      <c r="Q85" s="9"/>
      <c r="R85" s="8"/>
    </row>
    <row r="86" spans="4:18">
      <c r="D86" s="6"/>
      <c r="E86" s="6"/>
      <c r="G86" s="7"/>
      <c r="H86" s="7"/>
      <c r="I86" s="7"/>
      <c r="J86" s="7"/>
      <c r="N86" s="8"/>
      <c r="O86" s="8"/>
      <c r="P86" s="9"/>
      <c r="Q86" s="9"/>
      <c r="R86" s="8"/>
    </row>
    <row r="87" spans="4:18">
      <c r="D87" s="6"/>
      <c r="E87" s="6"/>
      <c r="G87" s="7"/>
      <c r="H87" s="7"/>
      <c r="I87" s="7"/>
      <c r="J87" s="7"/>
      <c r="N87" s="8"/>
      <c r="O87" s="8"/>
      <c r="P87" s="9"/>
      <c r="Q87" s="9"/>
      <c r="R87" s="8"/>
    </row>
    <row r="88" spans="4:18">
      <c r="D88" s="6"/>
      <c r="E88" s="6"/>
      <c r="G88" s="7"/>
      <c r="H88" s="7"/>
      <c r="I88" s="7"/>
      <c r="J88" s="7"/>
      <c r="N88" s="8"/>
      <c r="O88" s="8"/>
      <c r="P88" s="9"/>
      <c r="Q88" s="9"/>
      <c r="R88" s="8"/>
    </row>
    <row r="89" spans="4:18">
      <c r="D89" s="6"/>
      <c r="E89" s="6"/>
      <c r="G89" s="7"/>
      <c r="H89" s="7"/>
      <c r="I89" s="7"/>
      <c r="J89" s="7"/>
      <c r="N89" s="8"/>
      <c r="O89" s="8"/>
      <c r="P89" s="9"/>
      <c r="Q89" s="9"/>
      <c r="R89" s="8"/>
    </row>
    <row r="90" spans="4:18">
      <c r="D90" s="6"/>
      <c r="E90" s="6"/>
      <c r="G90" s="7"/>
      <c r="H90" s="7"/>
      <c r="I90" s="7"/>
      <c r="J90" s="7"/>
      <c r="N90" s="8"/>
      <c r="O90" s="8"/>
      <c r="P90" s="9"/>
      <c r="Q90" s="9"/>
      <c r="R90" s="8"/>
    </row>
    <row r="91" spans="4:18">
      <c r="D91" s="6"/>
      <c r="E91" s="6"/>
      <c r="G91" s="7"/>
      <c r="H91" s="7"/>
      <c r="I91" s="7"/>
      <c r="J91" s="7"/>
      <c r="N91" s="8"/>
      <c r="O91" s="8"/>
      <c r="P91" s="9"/>
      <c r="Q91" s="9"/>
      <c r="R91" s="8"/>
    </row>
    <row r="92" spans="4:18">
      <c r="D92" s="6"/>
      <c r="E92" s="6"/>
      <c r="G92" s="7"/>
      <c r="H92" s="7"/>
      <c r="I92" s="7"/>
      <c r="J92" s="7"/>
      <c r="N92" s="8"/>
      <c r="O92" s="8"/>
      <c r="P92" s="9"/>
      <c r="Q92" s="9"/>
      <c r="R92" s="8"/>
    </row>
    <row r="93" spans="4:18">
      <c r="D93" s="6"/>
      <c r="E93" s="6"/>
      <c r="G93" s="7"/>
      <c r="H93" s="7"/>
      <c r="I93" s="7"/>
      <c r="J93" s="7"/>
      <c r="N93" s="8"/>
      <c r="O93" s="8"/>
      <c r="P93" s="9"/>
      <c r="Q93" s="9"/>
      <c r="R93" s="8"/>
    </row>
    <row r="94" spans="4:18">
      <c r="D94" s="6"/>
      <c r="E94" s="6"/>
      <c r="G94" s="7"/>
      <c r="H94" s="7"/>
      <c r="I94" s="7"/>
      <c r="J94" s="7"/>
      <c r="N94" s="8"/>
      <c r="O94" s="8"/>
      <c r="P94" s="9"/>
      <c r="Q94" s="9"/>
      <c r="R94" s="8"/>
    </row>
    <row r="95" spans="4:18">
      <c r="D95" s="6"/>
      <c r="E95" s="6"/>
      <c r="G95" s="7"/>
      <c r="H95" s="7"/>
      <c r="I95" s="7"/>
      <c r="J95" s="7"/>
      <c r="N95" s="8"/>
      <c r="O95" s="8"/>
      <c r="P95" s="9"/>
      <c r="Q95" s="9"/>
      <c r="R95" s="8"/>
    </row>
    <row r="96" spans="4:18">
      <c r="D96" s="6"/>
      <c r="E96" s="6"/>
      <c r="G96" s="7"/>
      <c r="H96" s="7"/>
      <c r="I96" s="7"/>
      <c r="J96" s="7"/>
      <c r="N96" s="8"/>
      <c r="O96" s="8"/>
      <c r="P96" s="9"/>
      <c r="Q96" s="9"/>
      <c r="R96" s="8"/>
    </row>
    <row r="97" spans="4:18">
      <c r="D97" s="6"/>
      <c r="E97" s="6"/>
      <c r="G97" s="7"/>
      <c r="H97" s="7"/>
      <c r="I97" s="7"/>
      <c r="J97" s="7"/>
      <c r="N97" s="8"/>
      <c r="O97" s="8"/>
      <c r="P97" s="9"/>
      <c r="Q97" s="9"/>
      <c r="R97" s="8"/>
    </row>
    <row r="98" spans="4:18">
      <c r="D98" s="6"/>
      <c r="E98" s="6"/>
      <c r="G98" s="7"/>
      <c r="H98" s="7"/>
      <c r="I98" s="7"/>
      <c r="J98" s="7"/>
      <c r="N98" s="8"/>
      <c r="O98" s="8"/>
      <c r="P98" s="9"/>
      <c r="Q98" s="9"/>
      <c r="R98" s="8"/>
    </row>
    <row r="99" spans="4:18">
      <c r="D99" s="6"/>
      <c r="E99" s="6"/>
      <c r="G99" s="7"/>
      <c r="H99" s="7"/>
      <c r="I99" s="7"/>
      <c r="J99" s="7"/>
      <c r="N99" s="8"/>
      <c r="O99" s="8"/>
      <c r="P99" s="9"/>
      <c r="Q99" s="9"/>
      <c r="R99" s="8"/>
    </row>
    <row r="100" spans="4:18">
      <c r="D100" s="6"/>
      <c r="E100" s="6"/>
      <c r="G100" s="7"/>
      <c r="H100" s="7"/>
      <c r="I100" s="7"/>
      <c r="J100" s="7"/>
      <c r="N100" s="8"/>
      <c r="O100" s="8"/>
      <c r="P100" s="9"/>
      <c r="Q100" s="9"/>
      <c r="R100" s="8"/>
    </row>
    <row r="101" spans="4:18">
      <c r="D101" s="6"/>
      <c r="E101" s="6"/>
      <c r="G101" s="7"/>
      <c r="H101" s="7"/>
      <c r="I101" s="7"/>
      <c r="J101" s="7"/>
      <c r="N101" s="8"/>
      <c r="O101" s="8"/>
      <c r="P101" s="9"/>
      <c r="Q101" s="9"/>
      <c r="R101" s="8"/>
    </row>
    <row r="102" spans="4:18">
      <c r="D102" s="6"/>
      <c r="E102" s="6"/>
      <c r="G102" s="7"/>
      <c r="H102" s="7"/>
      <c r="I102" s="7"/>
      <c r="J102" s="7"/>
      <c r="N102" s="8"/>
      <c r="O102" s="8"/>
      <c r="P102" s="9"/>
      <c r="Q102" s="9"/>
      <c r="R102" s="8"/>
    </row>
    <row r="103" spans="4:18">
      <c r="D103" s="6"/>
      <c r="E103" s="6"/>
      <c r="G103" s="7"/>
      <c r="H103" s="7"/>
      <c r="I103" s="7"/>
      <c r="J103" s="7"/>
      <c r="N103" s="8"/>
      <c r="O103" s="8"/>
      <c r="P103" s="9"/>
      <c r="Q103" s="9"/>
      <c r="R103" s="8"/>
    </row>
    <row r="104" spans="4:18">
      <c r="D104" s="6"/>
      <c r="E104" s="6"/>
      <c r="G104" s="7"/>
      <c r="H104" s="7"/>
      <c r="I104" s="7"/>
      <c r="J104" s="7"/>
      <c r="N104" s="8"/>
      <c r="O104" s="8"/>
      <c r="P104" s="9"/>
      <c r="Q104" s="9"/>
      <c r="R104" s="8"/>
    </row>
    <row r="105" spans="4:18">
      <c r="D105" s="6"/>
      <c r="E105" s="6"/>
      <c r="G105" s="7"/>
      <c r="H105" s="7"/>
      <c r="I105" s="7"/>
      <c r="J105" s="7"/>
      <c r="N105" s="8"/>
      <c r="O105" s="8"/>
      <c r="P105" s="9"/>
      <c r="Q105" s="9"/>
      <c r="R105" s="8"/>
    </row>
    <row r="106" spans="4:18">
      <c r="D106" s="6"/>
      <c r="E106" s="6"/>
      <c r="G106" s="7"/>
      <c r="H106" s="7"/>
      <c r="I106" s="7"/>
      <c r="J106" s="7"/>
      <c r="N106" s="8"/>
      <c r="O106" s="8"/>
      <c r="P106" s="9"/>
      <c r="Q106" s="9"/>
      <c r="R106" s="8"/>
    </row>
    <row r="107" spans="4:18">
      <c r="D107" s="6"/>
      <c r="E107" s="6"/>
      <c r="G107" s="7"/>
      <c r="H107" s="7"/>
      <c r="I107" s="7"/>
      <c r="J107" s="7"/>
      <c r="N107" s="8"/>
      <c r="O107" s="8"/>
      <c r="P107" s="9"/>
      <c r="Q107" s="9"/>
      <c r="R107" s="8"/>
    </row>
    <row r="108" spans="4:18">
      <c r="D108" s="6"/>
      <c r="E108" s="6"/>
      <c r="G108" s="7"/>
      <c r="H108" s="7"/>
      <c r="I108" s="7"/>
      <c r="J108" s="7"/>
      <c r="N108" s="8"/>
      <c r="O108" s="8"/>
      <c r="P108" s="9"/>
      <c r="Q108" s="9"/>
      <c r="R108" s="8"/>
    </row>
    <row r="109" spans="4:18">
      <c r="D109" s="6"/>
      <c r="E109" s="6"/>
      <c r="G109" s="7"/>
      <c r="H109" s="7"/>
      <c r="I109" s="7"/>
      <c r="J109" s="7"/>
      <c r="N109" s="8"/>
      <c r="O109" s="8"/>
      <c r="P109" s="9"/>
      <c r="Q109" s="9"/>
      <c r="R109" s="8"/>
    </row>
    <row r="110" spans="4:18">
      <c r="D110" s="6"/>
      <c r="E110" s="6"/>
      <c r="G110" s="7"/>
      <c r="H110" s="7"/>
      <c r="I110" s="7"/>
      <c r="J110" s="7"/>
      <c r="N110" s="8"/>
      <c r="O110" s="8"/>
      <c r="P110" s="9"/>
      <c r="Q110" s="9"/>
      <c r="R110" s="8"/>
    </row>
    <row r="111" spans="4:18">
      <c r="D111" s="6"/>
      <c r="E111" s="6"/>
      <c r="G111" s="7"/>
      <c r="H111" s="7"/>
      <c r="I111" s="7"/>
      <c r="J111" s="7"/>
      <c r="N111" s="8"/>
      <c r="O111" s="8"/>
      <c r="P111" s="9"/>
      <c r="Q111" s="9"/>
      <c r="R111" s="8"/>
    </row>
    <row r="112" spans="4:18">
      <c r="D112" s="6"/>
      <c r="E112" s="6"/>
      <c r="G112" s="7"/>
      <c r="H112" s="7"/>
      <c r="I112" s="7"/>
      <c r="J112" s="7"/>
      <c r="N112" s="8"/>
      <c r="O112" s="8"/>
      <c r="P112" s="9"/>
      <c r="Q112" s="9"/>
      <c r="R112" s="8"/>
    </row>
    <row r="113" spans="4:18">
      <c r="D113" s="6"/>
      <c r="E113" s="6"/>
      <c r="G113" s="7"/>
      <c r="H113" s="7"/>
      <c r="I113" s="7"/>
      <c r="J113" s="7"/>
      <c r="N113" s="8"/>
      <c r="O113" s="8"/>
      <c r="P113" s="9"/>
      <c r="Q113" s="9"/>
      <c r="R113" s="8"/>
    </row>
    <row r="114" spans="4:18">
      <c r="D114" s="6"/>
      <c r="E114" s="6"/>
      <c r="G114" s="7"/>
      <c r="H114" s="7"/>
      <c r="I114" s="7"/>
      <c r="J114" s="7"/>
      <c r="N114" s="8"/>
      <c r="O114" s="8"/>
      <c r="P114" s="9"/>
      <c r="Q114" s="9"/>
      <c r="R114" s="8"/>
    </row>
    <row r="115" spans="4:18">
      <c r="D115" s="6"/>
      <c r="E115" s="6"/>
      <c r="G115" s="7"/>
      <c r="H115" s="7"/>
      <c r="I115" s="7"/>
      <c r="J115" s="7"/>
      <c r="N115" s="8"/>
      <c r="O115" s="8"/>
      <c r="P115" s="9"/>
      <c r="Q115" s="9"/>
      <c r="R115" s="8"/>
    </row>
    <row r="116" spans="4:18">
      <c r="D116" s="6"/>
      <c r="E116" s="6"/>
      <c r="G116" s="7"/>
      <c r="H116" s="7"/>
      <c r="I116" s="7"/>
      <c r="J116" s="7"/>
      <c r="N116" s="8"/>
      <c r="O116" s="8"/>
      <c r="P116" s="9"/>
      <c r="Q116" s="9"/>
      <c r="R116" s="8"/>
    </row>
    <row r="117" spans="4:18">
      <c r="D117" s="6"/>
      <c r="E117" s="6"/>
      <c r="G117" s="7"/>
      <c r="H117" s="7"/>
      <c r="I117" s="7"/>
      <c r="J117" s="7"/>
      <c r="N117" s="8"/>
      <c r="O117" s="8"/>
      <c r="P117" s="9"/>
      <c r="Q117" s="9"/>
      <c r="R117" s="8"/>
    </row>
    <row r="118" spans="4:18">
      <c r="D118" s="6"/>
      <c r="E118" s="6"/>
      <c r="G118" s="7"/>
      <c r="H118" s="7"/>
      <c r="I118" s="7"/>
      <c r="J118" s="7"/>
      <c r="N118" s="8"/>
      <c r="O118" s="8"/>
      <c r="P118" s="9"/>
      <c r="Q118" s="9"/>
      <c r="R118" s="8"/>
    </row>
    <row r="119" spans="4:18">
      <c r="D119" s="6"/>
      <c r="E119" s="6"/>
      <c r="G119" s="7"/>
      <c r="H119" s="7"/>
      <c r="I119" s="7"/>
      <c r="J119" s="7"/>
      <c r="N119" s="8"/>
      <c r="O119" s="8"/>
      <c r="P119" s="9"/>
      <c r="Q119" s="9"/>
      <c r="R119" s="8"/>
    </row>
    <row r="120" spans="4:18">
      <c r="D120" s="6"/>
      <c r="E120" s="6"/>
      <c r="G120" s="7"/>
      <c r="H120" s="7"/>
      <c r="I120" s="7"/>
      <c r="J120" s="7"/>
      <c r="N120" s="8"/>
      <c r="O120" s="8"/>
      <c r="P120" s="9"/>
      <c r="Q120" s="9"/>
      <c r="R120" s="8"/>
    </row>
    <row r="121" spans="4:18">
      <c r="D121" s="6"/>
      <c r="E121" s="6"/>
      <c r="G121" s="7"/>
      <c r="H121" s="7"/>
      <c r="I121" s="7"/>
      <c r="J121" s="7"/>
      <c r="N121" s="8"/>
      <c r="O121" s="8"/>
      <c r="P121" s="9"/>
      <c r="Q121" s="9"/>
      <c r="R121" s="8"/>
    </row>
    <row r="122" spans="4:18">
      <c r="D122" s="6"/>
      <c r="E122" s="6"/>
      <c r="G122" s="7"/>
      <c r="H122" s="7"/>
      <c r="I122" s="7"/>
      <c r="J122" s="7"/>
      <c r="N122" s="8"/>
      <c r="O122" s="8"/>
      <c r="P122" s="9"/>
      <c r="Q122" s="9"/>
      <c r="R122" s="8"/>
    </row>
    <row r="123" spans="4:18">
      <c r="D123" s="6"/>
      <c r="E123" s="6"/>
      <c r="G123" s="7"/>
      <c r="H123" s="7"/>
      <c r="I123" s="7"/>
      <c r="J123" s="7"/>
      <c r="N123" s="8"/>
      <c r="O123" s="8"/>
      <c r="P123" s="9"/>
      <c r="Q123" s="9"/>
      <c r="R123" s="8"/>
    </row>
    <row r="124" spans="4:18">
      <c r="D124" s="6"/>
      <c r="E124" s="6"/>
      <c r="G124" s="7"/>
      <c r="H124" s="7"/>
      <c r="I124" s="7"/>
      <c r="J124" s="7"/>
      <c r="N124" s="8"/>
      <c r="O124" s="8"/>
      <c r="P124" s="9"/>
      <c r="Q124" s="9"/>
      <c r="R124" s="8"/>
    </row>
    <row r="125" spans="4:18">
      <c r="D125" s="6"/>
      <c r="E125" s="6"/>
      <c r="G125" s="7"/>
      <c r="H125" s="7"/>
      <c r="I125" s="7"/>
      <c r="J125" s="7"/>
      <c r="N125" s="8"/>
      <c r="O125" s="8"/>
      <c r="P125" s="9"/>
      <c r="Q125" s="9"/>
      <c r="R125" s="8"/>
    </row>
    <row r="126" spans="4:18">
      <c r="D126" s="6"/>
      <c r="E126" s="6"/>
      <c r="G126" s="7"/>
      <c r="H126" s="7"/>
      <c r="I126" s="7"/>
      <c r="J126" s="7"/>
      <c r="N126" s="8"/>
      <c r="O126" s="8"/>
      <c r="P126" s="9"/>
      <c r="Q126" s="9"/>
      <c r="R126" s="8"/>
    </row>
    <row r="127" spans="4:18">
      <c r="D127" s="6"/>
      <c r="E127" s="6"/>
      <c r="G127" s="7"/>
      <c r="H127" s="7"/>
      <c r="I127" s="7"/>
      <c r="J127" s="7"/>
      <c r="N127" s="8"/>
      <c r="O127" s="8"/>
      <c r="P127" s="9"/>
      <c r="Q127" s="9"/>
      <c r="R127" s="8"/>
    </row>
    <row r="128" spans="4:18">
      <c r="D128" s="6"/>
      <c r="E128" s="6"/>
      <c r="G128" s="7"/>
      <c r="H128" s="7"/>
      <c r="I128" s="7"/>
      <c r="J128" s="7"/>
      <c r="N128" s="8"/>
      <c r="O128" s="8"/>
      <c r="P128" s="9"/>
      <c r="Q128" s="9"/>
      <c r="R128" s="8"/>
    </row>
    <row r="129" spans="4:18">
      <c r="D129" s="6"/>
      <c r="E129" s="6"/>
      <c r="G129" s="7"/>
      <c r="H129" s="7"/>
      <c r="I129" s="7"/>
      <c r="J129" s="7"/>
      <c r="N129" s="8"/>
      <c r="O129" s="8"/>
      <c r="P129" s="9"/>
      <c r="Q129" s="9"/>
      <c r="R129" s="8"/>
    </row>
    <row r="130" spans="4:18">
      <c r="D130" s="6"/>
      <c r="E130" s="6"/>
      <c r="G130" s="7"/>
      <c r="H130" s="7"/>
      <c r="I130" s="7"/>
      <c r="J130" s="7"/>
      <c r="N130" s="8"/>
      <c r="O130" s="8"/>
      <c r="P130" s="9"/>
      <c r="Q130" s="9"/>
      <c r="R130" s="8"/>
    </row>
    <row r="131" spans="4:18">
      <c r="D131" s="6"/>
      <c r="E131" s="6"/>
      <c r="G131" s="7"/>
      <c r="H131" s="7"/>
      <c r="I131" s="7"/>
      <c r="J131" s="7"/>
      <c r="N131" s="8"/>
      <c r="O131" s="8"/>
      <c r="P131" s="9"/>
      <c r="Q131" s="9"/>
      <c r="R131" s="8"/>
    </row>
    <row r="132" spans="4:18">
      <c r="D132" s="6"/>
      <c r="E132" s="6"/>
      <c r="G132" s="7"/>
      <c r="H132" s="7"/>
      <c r="I132" s="7"/>
      <c r="J132" s="7"/>
      <c r="N132" s="8"/>
      <c r="O132" s="8"/>
      <c r="P132" s="9"/>
      <c r="Q132" s="9"/>
      <c r="R132" s="8"/>
    </row>
    <row r="133" spans="4:18">
      <c r="D133" s="6"/>
      <c r="E133" s="6"/>
      <c r="G133" s="7"/>
      <c r="H133" s="7"/>
      <c r="I133" s="7"/>
      <c r="J133" s="7"/>
      <c r="N133" s="8"/>
      <c r="O133" s="8"/>
      <c r="P133" s="9"/>
      <c r="Q133" s="9"/>
      <c r="R133" s="8"/>
    </row>
    <row r="134" spans="4:18">
      <c r="D134" s="6"/>
      <c r="E134" s="6"/>
      <c r="G134" s="7"/>
      <c r="H134" s="7"/>
      <c r="I134" s="7"/>
      <c r="J134" s="7"/>
      <c r="N134" s="8"/>
      <c r="O134" s="8"/>
      <c r="P134" s="9"/>
      <c r="Q134" s="9"/>
      <c r="R134" s="8"/>
    </row>
    <row r="135" spans="4:18">
      <c r="D135" s="6"/>
      <c r="E135" s="6"/>
      <c r="G135" s="7"/>
      <c r="H135" s="7"/>
      <c r="I135" s="7"/>
      <c r="J135" s="7"/>
      <c r="N135" s="8"/>
      <c r="O135" s="8"/>
      <c r="P135" s="9"/>
      <c r="Q135" s="9"/>
      <c r="R135" s="8"/>
    </row>
    <row r="136" spans="4:18">
      <c r="D136" s="6"/>
      <c r="E136" s="6"/>
      <c r="G136" s="7"/>
      <c r="H136" s="7"/>
      <c r="I136" s="7"/>
      <c r="J136" s="7"/>
      <c r="N136" s="8"/>
      <c r="O136" s="8"/>
      <c r="P136" s="9"/>
      <c r="Q136" s="9"/>
      <c r="R136" s="8"/>
    </row>
    <row r="137" spans="4:18">
      <c r="D137" s="6"/>
      <c r="E137" s="6"/>
      <c r="G137" s="7"/>
      <c r="H137" s="7"/>
      <c r="I137" s="7"/>
      <c r="J137" s="7"/>
      <c r="N137" s="8"/>
      <c r="O137" s="8"/>
      <c r="P137" s="9"/>
      <c r="Q137" s="9"/>
      <c r="R137" s="8"/>
    </row>
    <row r="138" spans="4:18">
      <c r="D138" s="6"/>
      <c r="E138" s="6"/>
      <c r="G138" s="7"/>
      <c r="H138" s="7"/>
      <c r="I138" s="7"/>
      <c r="J138" s="7"/>
      <c r="N138" s="8"/>
      <c r="O138" s="8"/>
      <c r="P138" s="9"/>
      <c r="Q138" s="9"/>
      <c r="R138" s="8"/>
    </row>
    <row r="139" spans="4:18">
      <c r="D139" s="6"/>
      <c r="E139" s="6"/>
      <c r="G139" s="7"/>
      <c r="H139" s="7"/>
      <c r="I139" s="7"/>
      <c r="J139" s="7"/>
      <c r="N139" s="8"/>
      <c r="O139" s="8"/>
      <c r="P139" s="9"/>
      <c r="Q139" s="9"/>
      <c r="R139" s="8"/>
    </row>
    <row r="140" spans="4:18">
      <c r="D140" s="6"/>
      <c r="E140" s="6"/>
      <c r="G140" s="7"/>
      <c r="H140" s="7"/>
      <c r="I140" s="7"/>
      <c r="J140" s="7"/>
      <c r="N140" s="8"/>
      <c r="O140" s="8"/>
      <c r="P140" s="9"/>
      <c r="Q140" s="9"/>
      <c r="R140" s="8"/>
    </row>
    <row r="141" spans="4:18">
      <c r="D141" s="6"/>
      <c r="E141" s="6"/>
      <c r="G141" s="7"/>
      <c r="H141" s="7"/>
      <c r="I141" s="7"/>
      <c r="J141" s="7"/>
      <c r="N141" s="8"/>
      <c r="O141" s="8"/>
      <c r="P141" s="9"/>
      <c r="Q141" s="9"/>
      <c r="R141" s="8"/>
    </row>
    <row r="142" spans="4:18">
      <c r="D142" s="6"/>
      <c r="E142" s="6"/>
      <c r="G142" s="7"/>
      <c r="H142" s="7"/>
      <c r="I142" s="7"/>
      <c r="J142" s="7"/>
      <c r="N142" s="8"/>
      <c r="O142" s="8"/>
      <c r="P142" s="9"/>
      <c r="Q142" s="9"/>
      <c r="R142" s="8"/>
    </row>
    <row r="143" spans="4:18">
      <c r="D143" s="6"/>
      <c r="E143" s="6"/>
      <c r="G143" s="7"/>
      <c r="H143" s="7"/>
      <c r="I143" s="7"/>
      <c r="J143" s="7"/>
      <c r="N143" s="8"/>
      <c r="O143" s="8"/>
      <c r="P143" s="9"/>
      <c r="Q143" s="9"/>
      <c r="R143" s="8"/>
    </row>
    <row r="144" spans="4:18">
      <c r="D144" s="6"/>
      <c r="E144" s="6"/>
      <c r="G144" s="7"/>
      <c r="H144" s="7"/>
      <c r="I144" s="7"/>
      <c r="J144" s="7"/>
      <c r="N144" s="8"/>
      <c r="O144" s="8"/>
      <c r="P144" s="9"/>
      <c r="Q144" s="9"/>
      <c r="R144" s="8"/>
    </row>
    <row r="145" spans="4:18">
      <c r="D145" s="6"/>
      <c r="E145" s="6"/>
      <c r="G145" s="7"/>
      <c r="H145" s="7"/>
      <c r="I145" s="7"/>
      <c r="J145" s="7"/>
      <c r="N145" s="8"/>
      <c r="O145" s="8"/>
      <c r="P145" s="9"/>
      <c r="Q145" s="9"/>
      <c r="R145" s="8"/>
    </row>
    <row r="146" spans="4:18">
      <c r="D146" s="6"/>
      <c r="E146" s="6"/>
      <c r="G146" s="7"/>
      <c r="H146" s="7"/>
      <c r="I146" s="7"/>
      <c r="J146" s="7"/>
      <c r="N146" s="8"/>
      <c r="O146" s="8"/>
      <c r="P146" s="9"/>
      <c r="Q146" s="9"/>
      <c r="R146" s="8"/>
    </row>
    <row r="147" spans="4:18">
      <c r="D147" s="6"/>
      <c r="E147" s="6"/>
      <c r="G147" s="7"/>
      <c r="H147" s="7"/>
      <c r="I147" s="7"/>
      <c r="J147" s="7"/>
      <c r="N147" s="8"/>
      <c r="O147" s="8"/>
      <c r="P147" s="9"/>
      <c r="Q147" s="9"/>
      <c r="R147" s="8"/>
    </row>
    <row r="148" spans="4:18">
      <c r="D148" s="6"/>
      <c r="E148" s="6"/>
      <c r="G148" s="7"/>
      <c r="H148" s="7"/>
      <c r="I148" s="7"/>
      <c r="J148" s="7"/>
      <c r="N148" s="8"/>
      <c r="O148" s="8"/>
      <c r="P148" s="9"/>
      <c r="Q148" s="9"/>
      <c r="R148" s="8"/>
    </row>
    <row r="149" spans="4:18">
      <c r="D149" s="6"/>
      <c r="E149" s="6"/>
      <c r="G149" s="7"/>
      <c r="H149" s="7"/>
      <c r="I149" s="7"/>
      <c r="J149" s="7"/>
      <c r="N149" s="8"/>
      <c r="O149" s="8"/>
      <c r="P149" s="9"/>
      <c r="Q149" s="9"/>
      <c r="R149" s="8"/>
    </row>
    <row r="150" spans="4:18">
      <c r="D150" s="6"/>
      <c r="E150" s="6"/>
      <c r="G150" s="7"/>
      <c r="H150" s="7"/>
      <c r="I150" s="7"/>
      <c r="J150" s="7"/>
      <c r="N150" s="8"/>
      <c r="O150" s="8"/>
      <c r="P150" s="9"/>
      <c r="Q150" s="9"/>
      <c r="R150" s="8"/>
    </row>
    <row r="151" spans="4:18">
      <c r="D151" s="6"/>
      <c r="E151" s="6"/>
      <c r="G151" s="7"/>
      <c r="H151" s="7"/>
      <c r="I151" s="7"/>
      <c r="J151" s="7"/>
      <c r="N151" s="8"/>
      <c r="O151" s="8"/>
      <c r="P151" s="9"/>
      <c r="Q151" s="9"/>
      <c r="R151" s="8"/>
    </row>
    <row r="152" spans="4:18">
      <c r="D152" s="6"/>
      <c r="E152" s="6"/>
      <c r="G152" s="7"/>
      <c r="H152" s="7"/>
      <c r="I152" s="7"/>
      <c r="J152" s="7"/>
      <c r="N152" s="8"/>
      <c r="O152" s="8"/>
      <c r="P152" s="9"/>
      <c r="Q152" s="9"/>
      <c r="R152" s="8"/>
    </row>
    <row r="153" spans="4:18">
      <c r="D153" s="6"/>
      <c r="E153" s="6"/>
      <c r="G153" s="7"/>
      <c r="H153" s="7"/>
      <c r="I153" s="7"/>
      <c r="J153" s="7"/>
      <c r="N153" s="8"/>
      <c r="O153" s="8"/>
      <c r="P153" s="9"/>
      <c r="Q153" s="9"/>
      <c r="R153" s="8"/>
    </row>
    <row r="154" spans="4:18">
      <c r="D154" s="6"/>
      <c r="E154" s="6"/>
      <c r="G154" s="7"/>
      <c r="H154" s="7"/>
      <c r="I154" s="7"/>
      <c r="J154" s="7"/>
      <c r="N154" s="8"/>
      <c r="O154" s="8"/>
      <c r="P154" s="9"/>
      <c r="Q154" s="9"/>
      <c r="R154" s="8"/>
    </row>
    <row r="155" spans="4:18">
      <c r="D155" s="6"/>
      <c r="E155" s="6"/>
      <c r="G155" s="7"/>
      <c r="H155" s="7"/>
      <c r="I155" s="7"/>
      <c r="J155" s="7"/>
      <c r="N155" s="8"/>
      <c r="O155" s="8"/>
      <c r="P155" s="9"/>
      <c r="Q155" s="9"/>
      <c r="R155" s="8"/>
    </row>
    <row r="156" spans="4:18">
      <c r="D156" s="6"/>
      <c r="E156" s="6"/>
      <c r="G156" s="7"/>
      <c r="H156" s="7"/>
      <c r="I156" s="7"/>
      <c r="J156" s="7"/>
      <c r="N156" s="8"/>
      <c r="O156" s="8"/>
      <c r="P156" s="9"/>
      <c r="Q156" s="9"/>
      <c r="R156" s="8"/>
    </row>
    <row r="157" spans="4:18">
      <c r="D157" s="6"/>
      <c r="E157" s="6"/>
      <c r="G157" s="7"/>
      <c r="H157" s="7"/>
      <c r="I157" s="7"/>
      <c r="J157" s="7"/>
      <c r="N157" s="8"/>
      <c r="O157" s="8"/>
      <c r="P157" s="9"/>
      <c r="Q157" s="9"/>
      <c r="R157" s="8"/>
    </row>
    <row r="158" spans="4:18">
      <c r="D158" s="6"/>
      <c r="E158" s="6"/>
      <c r="G158" s="7"/>
      <c r="H158" s="7"/>
      <c r="I158" s="7"/>
      <c r="J158" s="7"/>
      <c r="N158" s="8"/>
      <c r="O158" s="8"/>
      <c r="P158" s="9"/>
      <c r="Q158" s="9"/>
      <c r="R158" s="8"/>
    </row>
    <row r="159" spans="4:18">
      <c r="D159" s="6"/>
      <c r="E159" s="6"/>
      <c r="G159" s="7"/>
      <c r="H159" s="7"/>
      <c r="I159" s="7"/>
      <c r="J159" s="7"/>
      <c r="N159" s="8"/>
      <c r="O159" s="8"/>
      <c r="P159" s="9"/>
      <c r="Q159" s="9"/>
      <c r="R159" s="8"/>
    </row>
    <row r="160" spans="4:18">
      <c r="D160" s="6"/>
      <c r="E160" s="6"/>
      <c r="G160" s="7"/>
      <c r="H160" s="7"/>
      <c r="I160" s="7"/>
      <c r="J160" s="7"/>
      <c r="N160" s="8"/>
      <c r="O160" s="8"/>
      <c r="P160" s="9"/>
      <c r="Q160" s="9"/>
      <c r="R160" s="8"/>
    </row>
    <row r="161" spans="4:18">
      <c r="D161" s="6"/>
      <c r="E161" s="6"/>
      <c r="G161" s="7"/>
      <c r="H161" s="7"/>
      <c r="I161" s="7"/>
      <c r="J161" s="7"/>
      <c r="N161" s="8"/>
      <c r="O161" s="8"/>
      <c r="P161" s="9"/>
      <c r="Q161" s="9"/>
      <c r="R161" s="8"/>
    </row>
    <row r="162" spans="4:18">
      <c r="D162" s="6"/>
      <c r="E162" s="6"/>
      <c r="G162" s="7"/>
      <c r="H162" s="7"/>
      <c r="I162" s="7"/>
      <c r="J162" s="7"/>
      <c r="N162" s="8"/>
      <c r="O162" s="8"/>
      <c r="P162" s="9"/>
      <c r="Q162" s="9"/>
      <c r="R162" s="8"/>
    </row>
    <row r="163" spans="4:18">
      <c r="D163" s="6"/>
      <c r="E163" s="6"/>
      <c r="G163" s="7"/>
      <c r="H163" s="7"/>
      <c r="I163" s="7"/>
      <c r="J163" s="7"/>
      <c r="N163" s="8"/>
      <c r="O163" s="8"/>
      <c r="P163" s="9"/>
      <c r="Q163" s="9"/>
      <c r="R163" s="8"/>
    </row>
    <row r="164" spans="4:18">
      <c r="D164" s="6"/>
      <c r="E164" s="6"/>
      <c r="G164" s="7"/>
      <c r="H164" s="7"/>
      <c r="I164" s="7"/>
      <c r="J164" s="7"/>
      <c r="N164" s="8"/>
      <c r="O164" s="8"/>
      <c r="P164" s="9"/>
      <c r="Q164" s="9"/>
      <c r="R164" s="8"/>
    </row>
    <row r="165" spans="4:18">
      <c r="D165" s="6"/>
      <c r="E165" s="6"/>
      <c r="G165" s="7"/>
      <c r="H165" s="7"/>
      <c r="I165" s="7"/>
      <c r="J165" s="7"/>
      <c r="N165" s="8"/>
      <c r="O165" s="8"/>
      <c r="P165" s="9"/>
      <c r="Q165" s="9"/>
      <c r="R165" s="8"/>
    </row>
    <row r="166" spans="4:18">
      <c r="D166" s="6"/>
      <c r="E166" s="6"/>
      <c r="G166" s="7"/>
      <c r="H166" s="7"/>
      <c r="I166" s="7"/>
      <c r="J166" s="7"/>
      <c r="N166" s="8"/>
      <c r="O166" s="8"/>
      <c r="P166" s="9"/>
      <c r="Q166" s="9"/>
      <c r="R166" s="8"/>
    </row>
    <row r="167" spans="4:18">
      <c r="D167" s="6"/>
      <c r="E167" s="6"/>
      <c r="G167" s="7"/>
      <c r="H167" s="7"/>
      <c r="I167" s="7"/>
      <c r="J167" s="7"/>
      <c r="N167" s="8"/>
      <c r="O167" s="8"/>
      <c r="P167" s="9"/>
      <c r="Q167" s="9"/>
      <c r="R167" s="8"/>
    </row>
    <row r="168" spans="4:18">
      <c r="D168" s="6"/>
      <c r="E168" s="6"/>
      <c r="G168" s="7"/>
      <c r="H168" s="7"/>
      <c r="I168" s="7"/>
      <c r="J168" s="7"/>
      <c r="N168" s="8"/>
      <c r="O168" s="8"/>
      <c r="P168" s="9"/>
      <c r="Q168" s="9"/>
      <c r="R168" s="8"/>
    </row>
    <row r="169" spans="4:18">
      <c r="D169" s="6"/>
      <c r="E169" s="6"/>
      <c r="G169" s="7"/>
      <c r="H169" s="7"/>
      <c r="I169" s="7"/>
      <c r="J169" s="7"/>
      <c r="N169" s="8"/>
      <c r="O169" s="8"/>
      <c r="P169" s="9"/>
      <c r="Q169" s="9"/>
      <c r="R169" s="8"/>
    </row>
    <row r="170" spans="4:18">
      <c r="D170" s="6"/>
      <c r="E170" s="6"/>
      <c r="G170" s="7"/>
      <c r="H170" s="7"/>
      <c r="I170" s="7"/>
      <c r="J170" s="7"/>
      <c r="N170" s="8"/>
      <c r="O170" s="8"/>
      <c r="P170" s="9"/>
      <c r="Q170" s="9"/>
      <c r="R170" s="8"/>
    </row>
    <row r="171" spans="4:18">
      <c r="D171" s="6"/>
      <c r="E171" s="6"/>
      <c r="G171" s="7"/>
      <c r="H171" s="7"/>
      <c r="I171" s="7"/>
      <c r="J171" s="7"/>
      <c r="N171" s="8"/>
      <c r="O171" s="8"/>
      <c r="P171" s="9"/>
      <c r="Q171" s="9"/>
      <c r="R171" s="8"/>
    </row>
    <row r="172" spans="4:18">
      <c r="D172" s="6"/>
      <c r="E172" s="6"/>
      <c r="G172" s="7"/>
      <c r="H172" s="7"/>
      <c r="I172" s="7"/>
      <c r="J172" s="7"/>
      <c r="N172" s="8"/>
      <c r="O172" s="8"/>
      <c r="P172" s="9"/>
      <c r="Q172" s="9"/>
      <c r="R172" s="8"/>
    </row>
    <row r="173" spans="4:18">
      <c r="D173" s="6"/>
      <c r="E173" s="6"/>
      <c r="G173" s="7"/>
      <c r="H173" s="7"/>
      <c r="I173" s="7"/>
      <c r="J173" s="7"/>
      <c r="N173" s="8"/>
      <c r="O173" s="8"/>
      <c r="P173" s="9"/>
      <c r="Q173" s="9"/>
      <c r="R173" s="8"/>
    </row>
    <row r="174" spans="4:18">
      <c r="D174" s="6"/>
      <c r="E174" s="6"/>
      <c r="G174" s="7"/>
      <c r="H174" s="7"/>
      <c r="I174" s="7"/>
      <c r="J174" s="7"/>
      <c r="N174" s="8"/>
      <c r="O174" s="8"/>
      <c r="P174" s="9"/>
      <c r="Q174" s="9"/>
      <c r="R174" s="8"/>
    </row>
    <row r="175" spans="4:18">
      <c r="D175" s="6"/>
      <c r="E175" s="6"/>
      <c r="G175" s="7"/>
      <c r="H175" s="7"/>
      <c r="I175" s="7"/>
      <c r="J175" s="7"/>
      <c r="N175" s="8"/>
      <c r="O175" s="8"/>
      <c r="P175" s="9"/>
      <c r="Q175" s="9"/>
      <c r="R175" s="8"/>
    </row>
    <row r="176" spans="4:18">
      <c r="D176" s="6"/>
      <c r="E176" s="6"/>
      <c r="G176" s="7"/>
      <c r="H176" s="7"/>
      <c r="I176" s="7"/>
      <c r="J176" s="7"/>
      <c r="N176" s="8"/>
      <c r="O176" s="8"/>
      <c r="P176" s="9"/>
      <c r="Q176" s="9"/>
      <c r="R176" s="8"/>
    </row>
    <row r="177" spans="4:18">
      <c r="D177" s="6"/>
      <c r="E177" s="6"/>
      <c r="G177" s="7"/>
      <c r="H177" s="7"/>
      <c r="I177" s="7"/>
      <c r="J177" s="7"/>
      <c r="N177" s="8"/>
      <c r="O177" s="8"/>
      <c r="P177" s="9"/>
      <c r="Q177" s="9"/>
      <c r="R177" s="8"/>
    </row>
    <row r="178" spans="4:18">
      <c r="D178" s="6"/>
      <c r="E178" s="6"/>
      <c r="G178" s="7"/>
      <c r="H178" s="7"/>
      <c r="I178" s="7"/>
      <c r="J178" s="7"/>
      <c r="N178" s="8"/>
      <c r="O178" s="8"/>
      <c r="P178" s="9"/>
      <c r="Q178" s="9"/>
      <c r="R178" s="8"/>
    </row>
    <row r="179" spans="4:18">
      <c r="D179" s="6"/>
      <c r="E179" s="6"/>
      <c r="G179" s="7"/>
      <c r="H179" s="7"/>
      <c r="I179" s="7"/>
      <c r="J179" s="7"/>
      <c r="N179" s="8"/>
      <c r="O179" s="8"/>
      <c r="P179" s="9"/>
      <c r="Q179" s="9"/>
      <c r="R179" s="8"/>
    </row>
    <row r="180" spans="4:18">
      <c r="D180" s="6"/>
      <c r="E180" s="6"/>
      <c r="G180" s="7"/>
      <c r="H180" s="7"/>
      <c r="I180" s="7"/>
      <c r="J180" s="7"/>
      <c r="N180" s="8"/>
      <c r="O180" s="8"/>
      <c r="P180" s="9"/>
      <c r="Q180" s="9"/>
      <c r="R180" s="8"/>
    </row>
    <row r="181" spans="4:18">
      <c r="D181" s="6"/>
      <c r="E181" s="6"/>
      <c r="G181" s="7"/>
      <c r="H181" s="7"/>
      <c r="I181" s="7"/>
      <c r="J181" s="7"/>
      <c r="N181" s="8"/>
      <c r="O181" s="8"/>
      <c r="P181" s="9"/>
      <c r="Q181" s="9"/>
      <c r="R181" s="8"/>
    </row>
    <row r="182" spans="4:18">
      <c r="D182" s="6"/>
      <c r="E182" s="6"/>
      <c r="G182" s="7"/>
      <c r="H182" s="7"/>
      <c r="I182" s="7"/>
      <c r="J182" s="7"/>
      <c r="N182" s="8"/>
      <c r="O182" s="8"/>
      <c r="P182" s="9"/>
      <c r="Q182" s="9"/>
      <c r="R182" s="8"/>
    </row>
    <row r="183" spans="4:18">
      <c r="D183" s="6"/>
      <c r="E183" s="6"/>
      <c r="G183" s="7"/>
      <c r="H183" s="7"/>
      <c r="I183" s="7"/>
      <c r="J183" s="7"/>
      <c r="N183" s="8"/>
      <c r="O183" s="8"/>
      <c r="P183" s="9"/>
      <c r="Q183" s="9"/>
      <c r="R183" s="8"/>
    </row>
    <row r="184" spans="4:18">
      <c r="D184" s="6"/>
      <c r="E184" s="6"/>
      <c r="G184" s="7"/>
      <c r="H184" s="7"/>
      <c r="I184" s="7"/>
      <c r="J184" s="7"/>
      <c r="N184" s="8"/>
      <c r="O184" s="8"/>
      <c r="P184" s="9"/>
      <c r="Q184" s="9"/>
      <c r="R184" s="8"/>
    </row>
    <row r="185" spans="4:18">
      <c r="D185" s="6"/>
      <c r="E185" s="6"/>
      <c r="G185" s="7"/>
      <c r="H185" s="7"/>
      <c r="I185" s="7"/>
      <c r="J185" s="7"/>
      <c r="N185" s="8"/>
      <c r="O185" s="8"/>
      <c r="P185" s="9"/>
      <c r="Q185" s="9"/>
      <c r="R185" s="8"/>
    </row>
    <row r="186" spans="4:18">
      <c r="D186" s="6"/>
      <c r="E186" s="6"/>
      <c r="G186" s="7"/>
      <c r="H186" s="7"/>
      <c r="I186" s="7"/>
      <c r="J186" s="7"/>
      <c r="N186" s="8"/>
      <c r="O186" s="8"/>
      <c r="P186" s="9"/>
      <c r="Q186" s="9"/>
      <c r="R186" s="8"/>
    </row>
    <row r="187" spans="4:18">
      <c r="D187" s="6"/>
      <c r="E187" s="6"/>
      <c r="G187" s="7"/>
      <c r="H187" s="7"/>
      <c r="I187" s="7"/>
      <c r="J187" s="7"/>
      <c r="N187" s="8"/>
      <c r="O187" s="8"/>
      <c r="P187" s="9"/>
      <c r="Q187" s="9"/>
      <c r="R187" s="8"/>
    </row>
    <row r="188" spans="4:18">
      <c r="D188" s="6"/>
      <c r="E188" s="6"/>
      <c r="G188" s="7"/>
      <c r="H188" s="7"/>
      <c r="I188" s="7"/>
      <c r="J188" s="7"/>
      <c r="N188" s="8"/>
      <c r="O188" s="8"/>
      <c r="P188" s="9"/>
      <c r="Q188" s="9"/>
      <c r="R188" s="8"/>
    </row>
    <row r="189" spans="4:18">
      <c r="D189" s="6"/>
      <c r="E189" s="6"/>
      <c r="G189" s="7"/>
      <c r="H189" s="7"/>
      <c r="I189" s="7"/>
      <c r="J189" s="7"/>
      <c r="N189" s="8"/>
      <c r="O189" s="8"/>
      <c r="P189" s="9"/>
      <c r="Q189" s="9"/>
      <c r="R189" s="8"/>
    </row>
    <row r="190" spans="4:18">
      <c r="D190" s="6"/>
      <c r="E190" s="6"/>
      <c r="G190" s="7"/>
      <c r="H190" s="7"/>
      <c r="I190" s="7"/>
      <c r="J190" s="7"/>
      <c r="N190" s="8"/>
      <c r="O190" s="8"/>
      <c r="P190" s="9"/>
      <c r="Q190" s="9"/>
      <c r="R190" s="8"/>
    </row>
    <row r="191" spans="4:18">
      <c r="D191" s="6"/>
      <c r="E191" s="6"/>
      <c r="G191" s="7"/>
      <c r="H191" s="7"/>
      <c r="I191" s="7"/>
      <c r="J191" s="7"/>
      <c r="N191" s="8"/>
      <c r="O191" s="8"/>
      <c r="P191" s="9"/>
      <c r="Q191" s="9"/>
      <c r="R191" s="8"/>
    </row>
    <row r="192" spans="4:18">
      <c r="D192" s="6"/>
      <c r="E192" s="6"/>
      <c r="G192" s="7"/>
      <c r="H192" s="7"/>
      <c r="I192" s="7"/>
      <c r="J192" s="7"/>
      <c r="N192" s="8"/>
      <c r="O192" s="8"/>
      <c r="P192" s="9"/>
      <c r="Q192" s="9"/>
      <c r="R192" s="8"/>
    </row>
    <row r="193" spans="4:18">
      <c r="D193" s="6"/>
      <c r="E193" s="6"/>
      <c r="G193" s="7"/>
      <c r="H193" s="7"/>
      <c r="I193" s="7"/>
      <c r="J193" s="7"/>
      <c r="N193" s="8"/>
      <c r="O193" s="8"/>
      <c r="P193" s="9"/>
      <c r="Q193" s="9"/>
      <c r="R193" s="8"/>
    </row>
    <row r="194" spans="4:18">
      <c r="D194" s="6"/>
      <c r="E194" s="6"/>
      <c r="G194" s="7"/>
      <c r="H194" s="7"/>
      <c r="I194" s="7"/>
      <c r="J194" s="7"/>
      <c r="N194" s="8"/>
      <c r="O194" s="8"/>
      <c r="P194" s="9"/>
      <c r="Q194" s="9"/>
      <c r="R194" s="8"/>
    </row>
    <row r="195" spans="4:18">
      <c r="D195" s="6"/>
      <c r="E195" s="6"/>
      <c r="G195" s="7"/>
      <c r="H195" s="7"/>
      <c r="I195" s="7"/>
      <c r="J195" s="7"/>
      <c r="N195" s="8"/>
      <c r="O195" s="8"/>
      <c r="P195" s="9"/>
      <c r="Q195" s="9"/>
      <c r="R195" s="8"/>
    </row>
    <row r="196" spans="4:18">
      <c r="D196" s="6"/>
      <c r="E196" s="6"/>
      <c r="G196" s="7"/>
      <c r="H196" s="7"/>
      <c r="I196" s="7"/>
      <c r="J196" s="7"/>
      <c r="N196" s="8"/>
      <c r="O196" s="8"/>
      <c r="P196" s="9"/>
      <c r="Q196" s="9"/>
      <c r="R196" s="8"/>
    </row>
    <row r="197" spans="4:18">
      <c r="D197" s="6"/>
      <c r="E197" s="6"/>
      <c r="G197" s="7"/>
      <c r="H197" s="7"/>
      <c r="I197" s="7"/>
      <c r="J197" s="7"/>
      <c r="N197" s="8"/>
      <c r="O197" s="8"/>
      <c r="P197" s="9"/>
      <c r="Q197" s="9"/>
      <c r="R197" s="8"/>
    </row>
    <row r="198" spans="4:18">
      <c r="D198" s="6"/>
      <c r="E198" s="6"/>
      <c r="G198" s="7"/>
      <c r="H198" s="7"/>
      <c r="I198" s="7"/>
      <c r="J198" s="7"/>
      <c r="N198" s="8"/>
      <c r="O198" s="8"/>
      <c r="P198" s="9"/>
      <c r="Q198" s="9"/>
      <c r="R198" s="8"/>
    </row>
    <row r="199" spans="4:18">
      <c r="D199" s="6"/>
      <c r="E199" s="6"/>
      <c r="G199" s="7"/>
      <c r="H199" s="7"/>
      <c r="I199" s="7"/>
      <c r="J199" s="7"/>
      <c r="N199" s="8"/>
      <c r="O199" s="8"/>
      <c r="P199" s="9"/>
      <c r="Q199" s="9"/>
      <c r="R199" s="8"/>
    </row>
    <row r="200" spans="4:18">
      <c r="D200" s="6"/>
      <c r="E200" s="6"/>
      <c r="G200" s="7"/>
      <c r="H200" s="7"/>
      <c r="I200" s="7"/>
      <c r="J200" s="7"/>
      <c r="N200" s="8"/>
      <c r="O200" s="8"/>
      <c r="P200" s="9"/>
      <c r="Q200" s="9"/>
      <c r="R200" s="8"/>
    </row>
    <row r="201" spans="4:18">
      <c r="D201" s="6"/>
      <c r="E201" s="6"/>
      <c r="G201" s="7"/>
      <c r="H201" s="7"/>
      <c r="I201" s="7"/>
      <c r="J201" s="7"/>
      <c r="N201" s="8"/>
      <c r="O201" s="8"/>
      <c r="P201" s="9"/>
      <c r="Q201" s="9"/>
      <c r="R201" s="8"/>
    </row>
    <row r="202" spans="4:18">
      <c r="D202" s="6"/>
      <c r="E202" s="6"/>
      <c r="G202" s="7"/>
      <c r="H202" s="7"/>
      <c r="I202" s="7"/>
      <c r="J202" s="7"/>
      <c r="N202" s="8"/>
      <c r="O202" s="8"/>
      <c r="P202" s="9"/>
      <c r="Q202" s="9"/>
      <c r="R202" s="8"/>
    </row>
    <row r="203" spans="4:18">
      <c r="D203" s="6"/>
      <c r="E203" s="6"/>
      <c r="G203" s="7"/>
      <c r="H203" s="7"/>
      <c r="I203" s="7"/>
      <c r="J203" s="7"/>
      <c r="N203" s="8"/>
      <c r="O203" s="8"/>
      <c r="P203" s="9"/>
      <c r="Q203" s="9"/>
      <c r="R203" s="8"/>
    </row>
    <row r="204" spans="4:18">
      <c r="D204" s="6"/>
      <c r="E204" s="6"/>
      <c r="G204" s="7"/>
      <c r="H204" s="7"/>
      <c r="I204" s="7"/>
      <c r="J204" s="7"/>
      <c r="N204" s="8"/>
      <c r="O204" s="8"/>
      <c r="P204" s="9"/>
      <c r="Q204" s="9"/>
      <c r="R204" s="8"/>
    </row>
    <row r="205" spans="4:18">
      <c r="D205" s="6"/>
      <c r="E205" s="6"/>
      <c r="G205" s="7"/>
      <c r="H205" s="7"/>
      <c r="I205" s="7"/>
      <c r="J205" s="7"/>
      <c r="N205" s="8"/>
      <c r="O205" s="8"/>
      <c r="P205" s="9"/>
      <c r="Q205" s="9"/>
      <c r="R205" s="8"/>
    </row>
    <row r="206" spans="4:18">
      <c r="D206" s="6"/>
      <c r="E206" s="6"/>
      <c r="G206" s="7"/>
      <c r="H206" s="7"/>
      <c r="I206" s="7"/>
      <c r="J206" s="7"/>
      <c r="N206" s="8"/>
      <c r="O206" s="8"/>
      <c r="P206" s="9"/>
      <c r="Q206" s="9"/>
      <c r="R206" s="8"/>
    </row>
    <row r="207" spans="4:18">
      <c r="D207" s="6"/>
      <c r="E207" s="6"/>
      <c r="G207" s="7"/>
      <c r="H207" s="7"/>
      <c r="I207" s="7"/>
      <c r="J207" s="7"/>
      <c r="N207" s="8"/>
      <c r="O207" s="8"/>
      <c r="P207" s="9"/>
      <c r="Q207" s="9"/>
      <c r="R207" s="8"/>
    </row>
    <row r="208" spans="4:18">
      <c r="D208" s="6"/>
      <c r="E208" s="6"/>
      <c r="G208" s="7"/>
      <c r="H208" s="7"/>
      <c r="I208" s="7"/>
      <c r="J208" s="7"/>
      <c r="N208" s="8"/>
      <c r="O208" s="8"/>
      <c r="P208" s="9"/>
      <c r="Q208" s="9"/>
      <c r="R208" s="8"/>
    </row>
    <row r="209" spans="4:18">
      <c r="D209" s="6"/>
      <c r="E209" s="6"/>
      <c r="G209" s="7"/>
      <c r="H209" s="7"/>
      <c r="I209" s="7"/>
      <c r="J209" s="7"/>
      <c r="N209" s="8"/>
      <c r="O209" s="8"/>
      <c r="P209" s="9"/>
      <c r="Q209" s="9"/>
      <c r="R209" s="8"/>
    </row>
    <row r="210" spans="4:18">
      <c r="D210" s="6"/>
      <c r="E210" s="6"/>
      <c r="G210" s="7"/>
      <c r="H210" s="7"/>
      <c r="I210" s="7"/>
      <c r="J210" s="7"/>
      <c r="N210" s="8"/>
      <c r="O210" s="8"/>
      <c r="P210" s="9"/>
      <c r="Q210" s="9"/>
      <c r="R210" s="8"/>
    </row>
    <row r="211" spans="4:18">
      <c r="D211" s="6"/>
      <c r="E211" s="6"/>
      <c r="G211" s="7"/>
      <c r="H211" s="7"/>
      <c r="I211" s="7"/>
      <c r="J211" s="7"/>
      <c r="N211" s="8"/>
      <c r="O211" s="8"/>
      <c r="P211" s="9"/>
      <c r="Q211" s="9"/>
      <c r="R211" s="8"/>
    </row>
    <row r="212" spans="4:18">
      <c r="D212" s="6"/>
      <c r="E212" s="6"/>
      <c r="G212" s="7"/>
      <c r="H212" s="7"/>
      <c r="I212" s="7"/>
      <c r="J212" s="7"/>
      <c r="N212" s="8"/>
      <c r="O212" s="8"/>
      <c r="P212" s="9"/>
      <c r="Q212" s="9"/>
      <c r="R212" s="8"/>
    </row>
    <row r="213" spans="4:18">
      <c r="D213" s="6"/>
      <c r="E213" s="6"/>
      <c r="G213" s="7"/>
      <c r="H213" s="7"/>
      <c r="I213" s="7"/>
      <c r="J213" s="7"/>
      <c r="N213" s="8"/>
      <c r="O213" s="8"/>
      <c r="P213" s="9"/>
      <c r="Q213" s="9"/>
      <c r="R213" s="8"/>
    </row>
    <row r="214" spans="4:18">
      <c r="D214" s="6"/>
      <c r="E214" s="6"/>
      <c r="G214" s="7"/>
      <c r="H214" s="7"/>
      <c r="I214" s="7"/>
      <c r="J214" s="7"/>
      <c r="N214" s="8"/>
      <c r="O214" s="8"/>
      <c r="P214" s="9"/>
      <c r="Q214" s="9"/>
      <c r="R214" s="8"/>
    </row>
    <row r="215" spans="4:18">
      <c r="D215" s="6"/>
      <c r="E215" s="6"/>
      <c r="G215" s="7"/>
      <c r="H215" s="7"/>
      <c r="I215" s="7"/>
      <c r="J215" s="7"/>
      <c r="N215" s="8"/>
      <c r="O215" s="8"/>
      <c r="P215" s="9"/>
      <c r="Q215" s="9"/>
      <c r="R215" s="8"/>
    </row>
    <row r="216" spans="4:18">
      <c r="D216" s="6"/>
      <c r="E216" s="6"/>
      <c r="G216" s="7"/>
      <c r="H216" s="7"/>
      <c r="I216" s="7"/>
      <c r="J216" s="7"/>
      <c r="N216" s="8"/>
      <c r="O216" s="8"/>
      <c r="P216" s="9"/>
      <c r="Q216" s="9"/>
      <c r="R216" s="8"/>
    </row>
    <row r="217" spans="4:18">
      <c r="D217" s="6"/>
      <c r="E217" s="6"/>
      <c r="G217" s="7"/>
      <c r="H217" s="7"/>
      <c r="I217" s="7"/>
      <c r="J217" s="7"/>
      <c r="N217" s="8"/>
      <c r="O217" s="8"/>
      <c r="P217" s="9"/>
      <c r="Q217" s="9"/>
      <c r="R217" s="8"/>
    </row>
    <row r="218" spans="4:18">
      <c r="D218" s="6"/>
      <c r="E218" s="6"/>
      <c r="G218" s="7"/>
      <c r="H218" s="7"/>
      <c r="I218" s="7"/>
      <c r="J218" s="7"/>
      <c r="N218" s="8"/>
      <c r="O218" s="8"/>
      <c r="P218" s="9"/>
      <c r="Q218" s="9"/>
      <c r="R218" s="8"/>
    </row>
    <row r="219" spans="4:18">
      <c r="D219" s="6"/>
      <c r="E219" s="6"/>
      <c r="G219" s="7"/>
      <c r="H219" s="7"/>
      <c r="I219" s="7"/>
      <c r="J219" s="7"/>
      <c r="N219" s="8"/>
      <c r="O219" s="8"/>
      <c r="P219" s="9"/>
      <c r="Q219" s="9"/>
      <c r="R219" s="8"/>
    </row>
    <row r="220" spans="4:18">
      <c r="D220" s="6"/>
      <c r="E220" s="6"/>
      <c r="G220" s="7"/>
      <c r="H220" s="7"/>
      <c r="I220" s="7"/>
      <c r="J220" s="7"/>
      <c r="N220" s="8"/>
      <c r="O220" s="8"/>
      <c r="P220" s="9"/>
      <c r="Q220" s="9"/>
      <c r="R220" s="8"/>
    </row>
    <row r="221" spans="4:18">
      <c r="D221" s="6"/>
      <c r="E221" s="6"/>
      <c r="G221" s="7"/>
      <c r="H221" s="7"/>
      <c r="I221" s="7"/>
      <c r="J221" s="7"/>
      <c r="N221" s="8"/>
      <c r="O221" s="8"/>
      <c r="P221" s="9"/>
      <c r="Q221" s="9"/>
      <c r="R221" s="8"/>
    </row>
    <row r="222" spans="4:18">
      <c r="D222" s="6"/>
      <c r="E222" s="6"/>
      <c r="G222" s="7"/>
      <c r="H222" s="7"/>
      <c r="I222" s="7"/>
      <c r="J222" s="7"/>
      <c r="N222" s="8"/>
      <c r="O222" s="8"/>
      <c r="P222" s="9"/>
      <c r="Q222" s="9"/>
      <c r="R222" s="8"/>
    </row>
    <row r="223" spans="4:18">
      <c r="D223" s="6"/>
      <c r="E223" s="6"/>
      <c r="G223" s="7"/>
      <c r="H223" s="7"/>
      <c r="I223" s="7"/>
      <c r="J223" s="7"/>
      <c r="N223" s="8"/>
      <c r="O223" s="8"/>
      <c r="P223" s="9"/>
      <c r="Q223" s="9"/>
      <c r="R223" s="8"/>
    </row>
    <row r="224" spans="4:18">
      <c r="D224" s="6"/>
      <c r="E224" s="6"/>
      <c r="G224" s="7"/>
      <c r="H224" s="7"/>
      <c r="I224" s="7"/>
      <c r="J224" s="7"/>
      <c r="N224" s="8"/>
      <c r="O224" s="8"/>
      <c r="P224" s="9"/>
      <c r="Q224" s="9"/>
      <c r="R224" s="8"/>
    </row>
    <row r="225" spans="4:18">
      <c r="D225" s="6"/>
      <c r="E225" s="6"/>
      <c r="G225" s="7"/>
      <c r="H225" s="7"/>
      <c r="I225" s="7"/>
      <c r="J225" s="7"/>
      <c r="N225" s="8"/>
      <c r="O225" s="8"/>
      <c r="P225" s="9"/>
      <c r="Q225" s="9"/>
      <c r="R225" s="8"/>
    </row>
    <row r="226" spans="4:18">
      <c r="D226" s="6"/>
      <c r="E226" s="6"/>
      <c r="G226" s="7"/>
      <c r="H226" s="7"/>
      <c r="I226" s="7"/>
      <c r="J226" s="7"/>
      <c r="N226" s="8"/>
      <c r="O226" s="8"/>
      <c r="P226" s="9"/>
      <c r="Q226" s="9"/>
      <c r="R226" s="8"/>
    </row>
    <row r="227" spans="4:18">
      <c r="D227" s="6"/>
      <c r="E227" s="6"/>
      <c r="G227" s="7"/>
      <c r="H227" s="7"/>
      <c r="I227" s="7"/>
      <c r="J227" s="7"/>
      <c r="N227" s="8"/>
      <c r="O227" s="8"/>
      <c r="P227" s="9"/>
      <c r="Q227" s="9"/>
      <c r="R227" s="8"/>
    </row>
    <row r="228" spans="4:18">
      <c r="D228" s="6"/>
      <c r="E228" s="6"/>
      <c r="G228" s="7"/>
      <c r="H228" s="7"/>
      <c r="I228" s="7"/>
      <c r="J228" s="7"/>
      <c r="N228" s="8"/>
      <c r="O228" s="8"/>
      <c r="P228" s="9"/>
      <c r="Q228" s="9"/>
      <c r="R228" s="8"/>
    </row>
    <row r="229" spans="4:18">
      <c r="D229" s="6"/>
      <c r="E229" s="6"/>
      <c r="G229" s="7"/>
      <c r="H229" s="7"/>
      <c r="I229" s="7"/>
      <c r="J229" s="7"/>
      <c r="N229" s="8"/>
      <c r="O229" s="8"/>
      <c r="P229" s="9"/>
      <c r="Q229" s="9"/>
      <c r="R229" s="8"/>
    </row>
    <row r="230" spans="4:18">
      <c r="D230" s="6"/>
      <c r="E230" s="6"/>
      <c r="G230" s="7"/>
      <c r="H230" s="7"/>
      <c r="I230" s="7"/>
      <c r="J230" s="7"/>
      <c r="N230" s="8"/>
      <c r="O230" s="8"/>
      <c r="P230" s="9"/>
      <c r="Q230" s="9"/>
      <c r="R230" s="8"/>
    </row>
    <row r="231" spans="4:18">
      <c r="D231" s="6"/>
      <c r="E231" s="6"/>
      <c r="G231" s="7"/>
      <c r="H231" s="7"/>
      <c r="I231" s="7"/>
      <c r="J231" s="7"/>
      <c r="N231" s="8"/>
      <c r="O231" s="8"/>
      <c r="P231" s="9"/>
      <c r="Q231" s="9"/>
      <c r="R231" s="8"/>
    </row>
    <row r="232" spans="4:18">
      <c r="D232" s="6"/>
      <c r="E232" s="6"/>
      <c r="G232" s="7"/>
      <c r="H232" s="7"/>
      <c r="I232" s="7"/>
      <c r="J232" s="7"/>
      <c r="N232" s="8"/>
      <c r="O232" s="8"/>
      <c r="P232" s="9"/>
      <c r="Q232" s="9"/>
      <c r="R232" s="8"/>
    </row>
    <row r="233" spans="4:18">
      <c r="D233" s="6"/>
      <c r="E233" s="6"/>
      <c r="G233" s="7"/>
      <c r="H233" s="7"/>
      <c r="I233" s="7"/>
      <c r="J233" s="7"/>
      <c r="N233" s="8"/>
      <c r="O233" s="8"/>
      <c r="P233" s="9"/>
      <c r="Q233" s="9"/>
      <c r="R233" s="8"/>
    </row>
    <row r="234" spans="4:18">
      <c r="D234" s="6"/>
      <c r="E234" s="6"/>
      <c r="G234" s="7"/>
      <c r="H234" s="7"/>
      <c r="I234" s="7"/>
      <c r="J234" s="7"/>
      <c r="N234" s="8"/>
      <c r="O234" s="8"/>
      <c r="P234" s="9"/>
      <c r="Q234" s="9"/>
      <c r="R234" s="8"/>
    </row>
    <row r="235" spans="4:18">
      <c r="D235" s="6"/>
      <c r="E235" s="6"/>
      <c r="G235" s="7"/>
      <c r="H235" s="7"/>
      <c r="I235" s="7"/>
      <c r="J235" s="7"/>
      <c r="N235" s="8"/>
      <c r="O235" s="8"/>
      <c r="P235" s="9"/>
      <c r="Q235" s="9"/>
      <c r="R235" s="8"/>
    </row>
    <row r="236" spans="4:18">
      <c r="D236" s="6"/>
      <c r="E236" s="6"/>
      <c r="G236" s="7"/>
      <c r="H236" s="7"/>
      <c r="I236" s="7"/>
      <c r="J236" s="7"/>
      <c r="N236" s="8"/>
      <c r="O236" s="8"/>
      <c r="P236" s="9"/>
      <c r="Q236" s="9"/>
      <c r="R236" s="8"/>
    </row>
    <row r="237" spans="4:18">
      <c r="D237" s="6"/>
      <c r="E237" s="6"/>
      <c r="G237" s="7"/>
      <c r="H237" s="7"/>
      <c r="I237" s="7"/>
      <c r="J237" s="7"/>
      <c r="N237" s="8"/>
      <c r="O237" s="8"/>
      <c r="P237" s="9"/>
      <c r="Q237" s="9"/>
      <c r="R237" s="8"/>
    </row>
    <row r="238" spans="4:18">
      <c r="D238" s="6"/>
      <c r="E238" s="6"/>
      <c r="G238" s="7"/>
      <c r="H238" s="7"/>
      <c r="I238" s="7"/>
      <c r="J238" s="7"/>
      <c r="N238" s="8"/>
      <c r="O238" s="8"/>
      <c r="P238" s="9"/>
      <c r="Q238" s="9"/>
      <c r="R238" s="8"/>
    </row>
    <row r="239" spans="4:18">
      <c r="D239" s="6"/>
      <c r="E239" s="6"/>
      <c r="G239" s="7"/>
      <c r="H239" s="7"/>
      <c r="I239" s="7"/>
      <c r="J239" s="7"/>
      <c r="N239" s="8"/>
      <c r="O239" s="8"/>
      <c r="P239" s="9"/>
      <c r="Q239" s="9"/>
      <c r="R239" s="8"/>
    </row>
    <row r="240" spans="4:18">
      <c r="D240" s="6"/>
      <c r="E240" s="6"/>
      <c r="G240" s="7"/>
      <c r="H240" s="7"/>
      <c r="I240" s="7"/>
      <c r="J240" s="7"/>
      <c r="N240" s="8"/>
      <c r="O240" s="8"/>
      <c r="P240" s="9"/>
      <c r="Q240" s="9"/>
      <c r="R240" s="8"/>
    </row>
    <row r="241" spans="4:18">
      <c r="D241" s="6"/>
      <c r="E241" s="6"/>
      <c r="G241" s="7"/>
      <c r="H241" s="7"/>
      <c r="I241" s="7"/>
      <c r="J241" s="7"/>
      <c r="N241" s="8"/>
      <c r="O241" s="8"/>
      <c r="P241" s="9"/>
      <c r="Q241" s="9"/>
      <c r="R241" s="8"/>
    </row>
    <row r="242" spans="4:18">
      <c r="D242" s="6"/>
      <c r="E242" s="6"/>
      <c r="G242" s="7"/>
      <c r="H242" s="7"/>
      <c r="I242" s="7"/>
      <c r="J242" s="7"/>
      <c r="N242" s="8"/>
      <c r="O242" s="8"/>
      <c r="P242" s="9"/>
      <c r="Q242" s="9"/>
      <c r="R242" s="8"/>
    </row>
    <row r="243" spans="4:18">
      <c r="D243" s="6"/>
      <c r="E243" s="6"/>
      <c r="G243" s="7"/>
      <c r="H243" s="7"/>
      <c r="I243" s="7"/>
      <c r="J243" s="7"/>
      <c r="N243" s="8"/>
      <c r="O243" s="8"/>
      <c r="P243" s="9"/>
      <c r="Q243" s="9"/>
      <c r="R243" s="8"/>
    </row>
    <row r="244" spans="4:18">
      <c r="D244" s="6"/>
      <c r="E244" s="6"/>
      <c r="G244" s="7"/>
      <c r="H244" s="7"/>
      <c r="I244" s="7"/>
      <c r="J244" s="7"/>
      <c r="N244" s="8"/>
      <c r="O244" s="8"/>
      <c r="P244" s="9"/>
      <c r="Q244" s="9"/>
      <c r="R244" s="8"/>
    </row>
    <row r="245" spans="4:18">
      <c r="D245" s="6"/>
      <c r="E245" s="6"/>
      <c r="G245" s="7"/>
      <c r="H245" s="7"/>
      <c r="I245" s="7"/>
      <c r="J245" s="7"/>
      <c r="N245" s="8"/>
      <c r="O245" s="8"/>
      <c r="P245" s="9"/>
      <c r="Q245" s="9"/>
      <c r="R245" s="8"/>
    </row>
    <row r="246" spans="4:18">
      <c r="D246" s="6"/>
      <c r="E246" s="6"/>
      <c r="G246" s="7"/>
      <c r="H246" s="7"/>
      <c r="I246" s="7"/>
      <c r="J246" s="7"/>
      <c r="N246" s="8"/>
      <c r="O246" s="8"/>
      <c r="P246" s="9"/>
      <c r="Q246" s="9"/>
      <c r="R246" s="8"/>
    </row>
    <row r="247" spans="4:18">
      <c r="D247" s="6"/>
      <c r="E247" s="6"/>
      <c r="G247" s="7"/>
      <c r="H247" s="7"/>
      <c r="I247" s="7"/>
      <c r="J247" s="7"/>
      <c r="N247" s="8"/>
      <c r="O247" s="8"/>
      <c r="P247" s="9"/>
      <c r="Q247" s="9"/>
      <c r="R247" s="8"/>
    </row>
    <row r="248" spans="4:18">
      <c r="D248" s="6"/>
      <c r="E248" s="6"/>
      <c r="G248" s="7"/>
      <c r="H248" s="7"/>
      <c r="I248" s="7"/>
      <c r="J248" s="7"/>
      <c r="N248" s="8"/>
      <c r="O248" s="8"/>
      <c r="P248" s="9"/>
      <c r="Q248" s="9"/>
      <c r="R248" s="8"/>
    </row>
    <row r="249" spans="4:18">
      <c r="D249" s="6"/>
      <c r="E249" s="6"/>
      <c r="G249" s="7"/>
      <c r="H249" s="7"/>
      <c r="I249" s="7"/>
      <c r="J249" s="7"/>
      <c r="N249" s="8"/>
      <c r="O249" s="8"/>
      <c r="P249" s="9"/>
      <c r="Q249" s="9"/>
      <c r="R249" s="8"/>
    </row>
    <row r="250" spans="4:18">
      <c r="D250" s="6"/>
      <c r="E250" s="6"/>
      <c r="G250" s="7"/>
      <c r="H250" s="7"/>
      <c r="I250" s="7"/>
      <c r="J250" s="7"/>
      <c r="N250" s="8"/>
      <c r="O250" s="8"/>
      <c r="P250" s="9"/>
      <c r="Q250" s="9"/>
      <c r="R250" s="8"/>
    </row>
    <row r="251" spans="4:18">
      <c r="D251" s="6"/>
      <c r="E251" s="6"/>
      <c r="G251" s="7"/>
      <c r="H251" s="7"/>
      <c r="I251" s="7"/>
      <c r="J251" s="7"/>
      <c r="N251" s="8"/>
      <c r="O251" s="8"/>
      <c r="P251" s="9"/>
      <c r="Q251" s="9"/>
      <c r="R251" s="8"/>
    </row>
    <row r="252" spans="4:18">
      <c r="D252" s="6"/>
      <c r="E252" s="6"/>
      <c r="G252" s="7"/>
      <c r="H252" s="7"/>
      <c r="I252" s="7"/>
      <c r="J252" s="7"/>
      <c r="N252" s="8"/>
      <c r="O252" s="8"/>
      <c r="P252" s="9"/>
      <c r="Q252" s="9"/>
      <c r="R252" s="8"/>
    </row>
    <row r="253" spans="4:18">
      <c r="D253" s="6"/>
      <c r="E253" s="6"/>
      <c r="G253" s="7"/>
      <c r="H253" s="7"/>
      <c r="I253" s="7"/>
      <c r="J253" s="7"/>
      <c r="N253" s="8"/>
      <c r="O253" s="8"/>
      <c r="P253" s="9"/>
      <c r="Q253" s="9"/>
      <c r="R253" s="8"/>
    </row>
    <row r="254" spans="4:18">
      <c r="D254" s="6"/>
      <c r="E254" s="6"/>
      <c r="G254" s="7"/>
      <c r="H254" s="7"/>
      <c r="I254" s="7"/>
      <c r="J254" s="7"/>
      <c r="N254" s="8"/>
      <c r="O254" s="8"/>
      <c r="P254" s="9"/>
      <c r="Q254" s="9"/>
      <c r="R254" s="8"/>
    </row>
    <row r="255" spans="4:18">
      <c r="D255" s="6"/>
      <c r="E255" s="6"/>
      <c r="G255" s="7"/>
      <c r="H255" s="7"/>
      <c r="I255" s="7"/>
      <c r="J255" s="7"/>
      <c r="N255" s="8"/>
      <c r="O255" s="8"/>
      <c r="P255" s="9"/>
      <c r="Q255" s="9"/>
      <c r="R255" s="8"/>
    </row>
    <row r="256" spans="4:18">
      <c r="D256" s="6"/>
      <c r="E256" s="6"/>
      <c r="G256" s="7"/>
      <c r="H256" s="7"/>
      <c r="I256" s="7"/>
      <c r="J256" s="7"/>
      <c r="N256" s="8"/>
      <c r="O256" s="8"/>
      <c r="P256" s="9"/>
      <c r="Q256" s="9"/>
      <c r="R256" s="8"/>
    </row>
    <row r="257" spans="4:18">
      <c r="D257" s="6"/>
      <c r="E257" s="6"/>
      <c r="G257" s="7"/>
      <c r="H257" s="7"/>
      <c r="I257" s="7"/>
      <c r="J257" s="7"/>
      <c r="N257" s="8"/>
      <c r="O257" s="8"/>
      <c r="P257" s="9"/>
      <c r="Q257" s="9"/>
      <c r="R257" s="8"/>
    </row>
    <row r="258" spans="4:18">
      <c r="D258" s="6"/>
      <c r="E258" s="6"/>
      <c r="G258" s="7"/>
      <c r="H258" s="7"/>
      <c r="I258" s="7"/>
      <c r="J258" s="7"/>
      <c r="N258" s="8"/>
      <c r="O258" s="8"/>
      <c r="P258" s="9"/>
      <c r="Q258" s="9"/>
      <c r="R258" s="8"/>
    </row>
    <row r="259" spans="4:18">
      <c r="D259" s="6"/>
      <c r="E259" s="6"/>
      <c r="G259" s="7"/>
      <c r="H259" s="7"/>
      <c r="I259" s="7"/>
      <c r="J259" s="7"/>
      <c r="N259" s="8"/>
      <c r="O259" s="8"/>
      <c r="P259" s="9"/>
      <c r="Q259" s="9"/>
      <c r="R259" s="8"/>
    </row>
    <row r="260" spans="4:18">
      <c r="D260" s="6"/>
      <c r="E260" s="6"/>
      <c r="G260" s="7"/>
      <c r="H260" s="7"/>
      <c r="I260" s="7"/>
      <c r="J260" s="7"/>
      <c r="N260" s="8"/>
      <c r="O260" s="8"/>
      <c r="P260" s="9"/>
      <c r="Q260" s="9"/>
      <c r="R260" s="8"/>
    </row>
    <row r="261" spans="4:18">
      <c r="D261" s="6"/>
      <c r="E261" s="6"/>
      <c r="G261" s="7"/>
      <c r="H261" s="7"/>
      <c r="I261" s="7"/>
      <c r="J261" s="7"/>
      <c r="N261" s="8"/>
      <c r="O261" s="8"/>
      <c r="P261" s="9"/>
      <c r="Q261" s="9"/>
      <c r="R261" s="8"/>
    </row>
    <row r="262" spans="4:18">
      <c r="D262" s="6"/>
      <c r="E262" s="6"/>
      <c r="G262" s="7"/>
      <c r="H262" s="7"/>
      <c r="I262" s="7"/>
      <c r="J262" s="7"/>
      <c r="N262" s="8"/>
      <c r="O262" s="8"/>
      <c r="P262" s="9"/>
      <c r="Q262" s="9"/>
      <c r="R262" s="8"/>
    </row>
    <row r="263" spans="4:18">
      <c r="D263" s="6"/>
      <c r="E263" s="6"/>
      <c r="G263" s="7"/>
      <c r="H263" s="7"/>
      <c r="I263" s="7"/>
      <c r="J263" s="7"/>
      <c r="N263" s="8"/>
      <c r="O263" s="8"/>
      <c r="P263" s="9"/>
      <c r="Q263" s="9"/>
      <c r="R263" s="8"/>
    </row>
    <row r="264" spans="4:18">
      <c r="D264" s="6"/>
      <c r="E264" s="6"/>
      <c r="G264" s="7"/>
      <c r="H264" s="7"/>
      <c r="I264" s="7"/>
      <c r="J264" s="7"/>
      <c r="N264" s="8"/>
      <c r="O264" s="8"/>
      <c r="P264" s="9"/>
      <c r="Q264" s="9"/>
      <c r="R264" s="8"/>
    </row>
    <row r="265" spans="4:18">
      <c r="D265" s="6"/>
      <c r="E265" s="6"/>
      <c r="G265" s="7"/>
      <c r="H265" s="7"/>
      <c r="I265" s="7"/>
      <c r="J265" s="7"/>
      <c r="N265" s="8"/>
      <c r="O265" s="8"/>
      <c r="P265" s="9"/>
      <c r="Q265" s="9"/>
      <c r="R265" s="8"/>
    </row>
    <row r="266" spans="4:18">
      <c r="D266" s="6"/>
      <c r="E266" s="6"/>
      <c r="G266" s="7"/>
      <c r="H266" s="7"/>
      <c r="I266" s="7"/>
      <c r="J266" s="7"/>
      <c r="N266" s="8"/>
      <c r="O266" s="8"/>
      <c r="P266" s="9"/>
      <c r="Q266" s="9"/>
      <c r="R266" s="8"/>
    </row>
    <row r="267" spans="4:18">
      <c r="D267" s="6"/>
      <c r="E267" s="6"/>
      <c r="G267" s="7"/>
      <c r="H267" s="7"/>
      <c r="I267" s="7"/>
      <c r="J267" s="7"/>
      <c r="N267" s="8"/>
      <c r="O267" s="8"/>
      <c r="P267" s="9"/>
      <c r="Q267" s="9"/>
      <c r="R267" s="8"/>
    </row>
    <row r="268" spans="4:18">
      <c r="D268" s="6"/>
      <c r="E268" s="6"/>
      <c r="G268" s="7"/>
      <c r="H268" s="7"/>
      <c r="I268" s="7"/>
      <c r="J268" s="7"/>
      <c r="N268" s="8"/>
      <c r="O268" s="8"/>
      <c r="P268" s="9"/>
      <c r="Q268" s="9"/>
      <c r="R268" s="8"/>
    </row>
    <row r="269" spans="4:18">
      <c r="D269" s="6"/>
      <c r="E269" s="6"/>
      <c r="G269" s="7"/>
      <c r="H269" s="7"/>
      <c r="I269" s="7"/>
      <c r="J269" s="7"/>
      <c r="N269" s="8"/>
      <c r="O269" s="8"/>
      <c r="P269" s="9"/>
      <c r="Q269" s="9"/>
      <c r="R269" s="8"/>
    </row>
    <row r="270" spans="4:18">
      <c r="D270" s="6"/>
      <c r="E270" s="6"/>
      <c r="G270" s="7"/>
      <c r="H270" s="7"/>
      <c r="I270" s="7"/>
      <c r="J270" s="7"/>
      <c r="N270" s="8"/>
      <c r="O270" s="8"/>
      <c r="P270" s="9"/>
      <c r="Q270" s="9"/>
      <c r="R270" s="8"/>
    </row>
    <row r="271" spans="4:18">
      <c r="D271" s="6"/>
      <c r="E271" s="6"/>
      <c r="G271" s="7"/>
      <c r="H271" s="7"/>
      <c r="I271" s="7"/>
      <c r="J271" s="7"/>
      <c r="N271" s="8"/>
      <c r="O271" s="8"/>
      <c r="P271" s="9"/>
      <c r="Q271" s="9"/>
      <c r="R271" s="8"/>
    </row>
    <row r="272" spans="4:18">
      <c r="D272" s="6"/>
      <c r="E272" s="6"/>
      <c r="G272" s="7"/>
      <c r="H272" s="7"/>
      <c r="I272" s="7"/>
      <c r="J272" s="7"/>
      <c r="N272" s="8"/>
      <c r="O272" s="8"/>
      <c r="P272" s="9"/>
      <c r="Q272" s="9"/>
      <c r="R272" s="8"/>
    </row>
    <row r="273" spans="4:18">
      <c r="D273" s="6"/>
      <c r="E273" s="6"/>
      <c r="G273" s="7"/>
      <c r="H273" s="7"/>
      <c r="I273" s="7"/>
      <c r="J273" s="7"/>
      <c r="N273" s="8"/>
      <c r="O273" s="8"/>
      <c r="P273" s="9"/>
      <c r="Q273" s="9"/>
      <c r="R273" s="8"/>
    </row>
    <row r="274" spans="4:18">
      <c r="D274" s="6"/>
      <c r="E274" s="6"/>
      <c r="G274" s="7"/>
      <c r="H274" s="7"/>
      <c r="I274" s="7"/>
      <c r="J274" s="7"/>
      <c r="N274" s="8"/>
      <c r="O274" s="8"/>
      <c r="P274" s="9"/>
      <c r="Q274" s="9"/>
      <c r="R274" s="8"/>
    </row>
    <row r="275" spans="4:18">
      <c r="D275" s="6"/>
      <c r="E275" s="6"/>
      <c r="G275" s="7"/>
      <c r="H275" s="7"/>
      <c r="I275" s="7"/>
      <c r="J275" s="7"/>
      <c r="N275" s="8"/>
      <c r="O275" s="8"/>
      <c r="P275" s="9"/>
      <c r="Q275" s="9"/>
      <c r="R275" s="8"/>
    </row>
    <row r="276" spans="4:18">
      <c r="D276" s="6"/>
      <c r="E276" s="6"/>
      <c r="G276" s="7"/>
      <c r="H276" s="7"/>
      <c r="I276" s="7"/>
      <c r="J276" s="7"/>
      <c r="N276" s="8"/>
      <c r="O276" s="8"/>
      <c r="P276" s="9"/>
      <c r="Q276" s="9"/>
      <c r="R276" s="8"/>
    </row>
    <row r="277" spans="4:18">
      <c r="D277" s="6"/>
      <c r="E277" s="6"/>
      <c r="G277" s="7"/>
      <c r="H277" s="7"/>
      <c r="I277" s="7"/>
      <c r="J277" s="7"/>
      <c r="N277" s="8"/>
      <c r="O277" s="8"/>
      <c r="P277" s="9"/>
      <c r="Q277" s="9"/>
      <c r="R277" s="8"/>
    </row>
    <row r="278" spans="4:18">
      <c r="D278" s="6"/>
      <c r="E278" s="6"/>
      <c r="G278" s="7"/>
      <c r="H278" s="7"/>
      <c r="I278" s="7"/>
      <c r="J278" s="7"/>
      <c r="N278" s="8"/>
      <c r="O278" s="8"/>
      <c r="P278" s="9"/>
      <c r="Q278" s="9"/>
      <c r="R278" s="8"/>
    </row>
    <row r="279" spans="4:18">
      <c r="D279" s="6"/>
      <c r="E279" s="6"/>
      <c r="G279" s="7"/>
      <c r="H279" s="7"/>
      <c r="I279" s="7"/>
      <c r="J279" s="7"/>
      <c r="N279" s="8"/>
      <c r="O279" s="8"/>
      <c r="P279" s="9"/>
      <c r="Q279" s="9"/>
      <c r="R279" s="8"/>
    </row>
    <row r="280" spans="4:18">
      <c r="D280" s="6"/>
      <c r="E280" s="6"/>
      <c r="G280" s="7"/>
      <c r="H280" s="7"/>
      <c r="I280" s="7"/>
      <c r="J280" s="7"/>
      <c r="N280" s="8"/>
      <c r="O280" s="8"/>
      <c r="P280" s="9"/>
      <c r="Q280" s="9"/>
      <c r="R280" s="8"/>
    </row>
    <row r="281" spans="4:18">
      <c r="D281" s="6"/>
      <c r="E281" s="6"/>
      <c r="G281" s="7"/>
      <c r="H281" s="7"/>
      <c r="I281" s="7"/>
      <c r="J281" s="7"/>
      <c r="N281" s="8"/>
      <c r="O281" s="8"/>
      <c r="P281" s="9"/>
      <c r="Q281" s="9"/>
      <c r="R281" s="8"/>
    </row>
    <row r="282" spans="4:18">
      <c r="D282" s="6"/>
      <c r="E282" s="6"/>
      <c r="G282" s="7"/>
      <c r="H282" s="7"/>
      <c r="I282" s="7"/>
      <c r="J282" s="7"/>
      <c r="N282" s="8"/>
      <c r="O282" s="8"/>
      <c r="P282" s="9"/>
      <c r="Q282" s="9"/>
      <c r="R282" s="8"/>
    </row>
    <row r="283" spans="4:18">
      <c r="D283" s="6"/>
      <c r="E283" s="6"/>
      <c r="G283" s="7"/>
      <c r="H283" s="7"/>
      <c r="I283" s="7"/>
      <c r="J283" s="7"/>
      <c r="N283" s="8"/>
      <c r="O283" s="8"/>
      <c r="P283" s="9"/>
      <c r="Q283" s="9"/>
      <c r="R283" s="8"/>
    </row>
    <row r="284" spans="4:18">
      <c r="D284" s="6"/>
      <c r="E284" s="6"/>
      <c r="G284" s="7"/>
      <c r="H284" s="7"/>
      <c r="I284" s="7"/>
      <c r="J284" s="7"/>
      <c r="N284" s="8"/>
      <c r="O284" s="8"/>
      <c r="P284" s="9"/>
      <c r="Q284" s="9"/>
      <c r="R284" s="8"/>
    </row>
    <row r="285" spans="4:18">
      <c r="D285" s="6"/>
      <c r="E285" s="6"/>
      <c r="G285" s="7"/>
      <c r="H285" s="7"/>
      <c r="I285" s="7"/>
      <c r="J285" s="7"/>
      <c r="N285" s="8"/>
      <c r="O285" s="8"/>
      <c r="P285" s="9"/>
      <c r="Q285" s="9"/>
      <c r="R285" s="8"/>
    </row>
    <row r="286" spans="4:18">
      <c r="D286" s="6"/>
      <c r="E286" s="6"/>
      <c r="G286" s="7"/>
      <c r="H286" s="7"/>
      <c r="I286" s="7"/>
      <c r="J286" s="7"/>
      <c r="N286" s="8"/>
      <c r="O286" s="8"/>
      <c r="P286" s="9"/>
      <c r="Q286" s="9"/>
      <c r="R286" s="8"/>
    </row>
    <row r="287" spans="4:18">
      <c r="D287" s="6"/>
      <c r="E287" s="6"/>
      <c r="G287" s="7"/>
      <c r="H287" s="7"/>
      <c r="I287" s="7"/>
      <c r="J287" s="7"/>
      <c r="N287" s="8"/>
      <c r="O287" s="8"/>
      <c r="P287" s="9"/>
      <c r="Q287" s="9"/>
      <c r="R287" s="8"/>
    </row>
    <row r="288" spans="4:18">
      <c r="D288" s="6"/>
      <c r="E288" s="6"/>
      <c r="G288" s="7"/>
      <c r="H288" s="7"/>
      <c r="I288" s="7"/>
      <c r="J288" s="7"/>
      <c r="N288" s="8"/>
      <c r="O288" s="8"/>
      <c r="P288" s="9"/>
      <c r="Q288" s="9"/>
      <c r="R288" s="8"/>
    </row>
    <row r="289" spans="4:18">
      <c r="D289" s="6"/>
      <c r="E289" s="6"/>
      <c r="G289" s="7"/>
      <c r="H289" s="7"/>
      <c r="I289" s="7"/>
      <c r="J289" s="7"/>
      <c r="N289" s="8"/>
      <c r="O289" s="8"/>
      <c r="P289" s="9"/>
      <c r="Q289" s="9"/>
      <c r="R289" s="8"/>
    </row>
    <row r="290" spans="4:18">
      <c r="D290" s="6"/>
      <c r="E290" s="6"/>
      <c r="G290" s="7"/>
      <c r="H290" s="7"/>
      <c r="I290" s="7"/>
      <c r="J290" s="7"/>
      <c r="N290" s="8"/>
      <c r="O290" s="8"/>
      <c r="P290" s="9"/>
      <c r="Q290" s="9"/>
      <c r="R290" s="8"/>
    </row>
    <row r="291" spans="4:18">
      <c r="D291" s="6"/>
      <c r="E291" s="6"/>
      <c r="G291" s="7"/>
      <c r="H291" s="7"/>
      <c r="I291" s="7"/>
      <c r="J291" s="7"/>
      <c r="N291" s="8"/>
      <c r="O291" s="8"/>
      <c r="P291" s="9"/>
      <c r="Q291" s="9"/>
      <c r="R291" s="8"/>
    </row>
    <row r="292" spans="4:18">
      <c r="D292" s="6"/>
      <c r="E292" s="6"/>
      <c r="G292" s="7"/>
      <c r="H292" s="7"/>
      <c r="I292" s="7"/>
      <c r="J292" s="7"/>
      <c r="N292" s="8"/>
      <c r="O292" s="8"/>
      <c r="P292" s="9"/>
      <c r="Q292" s="9"/>
      <c r="R292" s="8"/>
    </row>
    <row r="293" spans="4:18">
      <c r="D293" s="6"/>
      <c r="E293" s="6"/>
      <c r="G293" s="7"/>
      <c r="H293" s="7"/>
      <c r="I293" s="7"/>
      <c r="J293" s="7"/>
      <c r="N293" s="8"/>
      <c r="O293" s="8"/>
      <c r="P293" s="9"/>
      <c r="Q293" s="9"/>
      <c r="R293" s="8"/>
    </row>
    <row r="294" spans="4:18">
      <c r="D294" s="6"/>
      <c r="E294" s="6"/>
      <c r="G294" s="7"/>
      <c r="H294" s="7"/>
      <c r="I294" s="7"/>
      <c r="J294" s="7"/>
      <c r="N294" s="8"/>
      <c r="O294" s="8"/>
      <c r="P294" s="9"/>
      <c r="Q294" s="9"/>
      <c r="R294" s="8"/>
    </row>
    <row r="295" spans="4:18">
      <c r="D295" s="6"/>
      <c r="E295" s="6"/>
      <c r="G295" s="7"/>
      <c r="H295" s="7"/>
      <c r="I295" s="7"/>
      <c r="J295" s="7"/>
      <c r="N295" s="8"/>
      <c r="O295" s="8"/>
      <c r="P295" s="9"/>
      <c r="Q295" s="9"/>
      <c r="R295" s="8"/>
    </row>
    <row r="296" spans="4:18">
      <c r="D296" s="6"/>
      <c r="E296" s="6"/>
      <c r="G296" s="7"/>
      <c r="H296" s="7"/>
      <c r="I296" s="7"/>
      <c r="J296" s="7"/>
      <c r="N296" s="8"/>
      <c r="O296" s="8"/>
      <c r="P296" s="9"/>
      <c r="Q296" s="9"/>
      <c r="R296" s="8"/>
    </row>
    <row r="297" spans="4:18">
      <c r="D297" s="6"/>
      <c r="E297" s="6"/>
      <c r="G297" s="7"/>
      <c r="H297" s="7"/>
      <c r="I297" s="7"/>
      <c r="J297" s="7"/>
      <c r="N297" s="8"/>
      <c r="O297" s="8"/>
      <c r="P297" s="9"/>
      <c r="Q297" s="9"/>
      <c r="R297" s="8"/>
    </row>
    <row r="298" spans="4:18">
      <c r="D298" s="6"/>
      <c r="E298" s="6"/>
      <c r="G298" s="7"/>
      <c r="H298" s="7"/>
      <c r="I298" s="7"/>
      <c r="J298" s="7"/>
      <c r="N298" s="8"/>
      <c r="O298" s="8"/>
      <c r="P298" s="9"/>
      <c r="Q298" s="9"/>
      <c r="R298" s="8"/>
    </row>
    <row r="299" spans="4:18">
      <c r="D299" s="6"/>
      <c r="E299" s="6"/>
      <c r="G299" s="7"/>
      <c r="H299" s="7"/>
      <c r="I299" s="7"/>
      <c r="J299" s="7"/>
      <c r="N299" s="8"/>
      <c r="O299" s="8"/>
      <c r="P299" s="9"/>
      <c r="Q299" s="9"/>
      <c r="R299" s="8"/>
    </row>
    <row r="300" spans="4:18">
      <c r="D300" s="6"/>
      <c r="E300" s="6"/>
      <c r="G300" s="7"/>
      <c r="H300" s="7"/>
      <c r="I300" s="7"/>
      <c r="J300" s="7"/>
      <c r="N300" s="8"/>
      <c r="O300" s="8"/>
      <c r="P300" s="9"/>
      <c r="Q300" s="9"/>
      <c r="R300" s="8"/>
    </row>
    <row r="301" spans="4:18">
      <c r="D301" s="6"/>
      <c r="E301" s="6"/>
      <c r="G301" s="7"/>
      <c r="H301" s="7"/>
      <c r="I301" s="7"/>
      <c r="J301" s="7"/>
      <c r="N301" s="8"/>
      <c r="O301" s="8"/>
      <c r="P301" s="9"/>
      <c r="Q301" s="9"/>
      <c r="R301" s="8"/>
    </row>
    <row r="302" spans="4:18">
      <c r="D302" s="6"/>
      <c r="E302" s="6"/>
      <c r="G302" s="7"/>
      <c r="H302" s="7"/>
      <c r="I302" s="7"/>
      <c r="J302" s="7"/>
      <c r="N302" s="8"/>
      <c r="O302" s="8"/>
      <c r="P302" s="9"/>
      <c r="Q302" s="9"/>
      <c r="R302" s="8"/>
    </row>
    <row r="303" spans="4:18">
      <c r="D303" s="6"/>
      <c r="E303" s="6"/>
      <c r="G303" s="7"/>
      <c r="H303" s="7"/>
      <c r="I303" s="7"/>
      <c r="J303" s="7"/>
      <c r="N303" s="8"/>
      <c r="O303" s="8"/>
      <c r="P303" s="9"/>
      <c r="Q303" s="9"/>
      <c r="R303" s="8"/>
    </row>
    <row r="304" spans="4:18">
      <c r="D304" s="6"/>
      <c r="E304" s="6"/>
      <c r="G304" s="7"/>
      <c r="H304" s="7"/>
      <c r="I304" s="7"/>
      <c r="J304" s="7"/>
      <c r="N304" s="8"/>
      <c r="O304" s="8"/>
      <c r="P304" s="9"/>
      <c r="Q304" s="9"/>
      <c r="R304" s="8"/>
    </row>
    <row r="305" spans="4:18">
      <c r="D305" s="6"/>
      <c r="E305" s="6"/>
      <c r="G305" s="7"/>
      <c r="H305" s="7"/>
      <c r="I305" s="7"/>
      <c r="J305" s="7"/>
      <c r="N305" s="8"/>
      <c r="O305" s="8"/>
      <c r="P305" s="9"/>
      <c r="Q305" s="9"/>
      <c r="R305" s="8"/>
    </row>
    <row r="306" spans="4:18">
      <c r="D306" s="6"/>
      <c r="E306" s="6"/>
      <c r="G306" s="7"/>
      <c r="H306" s="7"/>
      <c r="I306" s="7"/>
      <c r="J306" s="7"/>
      <c r="N306" s="8"/>
      <c r="O306" s="8"/>
      <c r="P306" s="9"/>
      <c r="Q306" s="9"/>
      <c r="R306" s="8"/>
    </row>
    <row r="307" spans="4:18">
      <c r="D307" s="6"/>
      <c r="E307" s="6"/>
      <c r="G307" s="7"/>
      <c r="H307" s="7"/>
      <c r="I307" s="7"/>
      <c r="J307" s="7"/>
      <c r="N307" s="8"/>
      <c r="O307" s="8"/>
      <c r="P307" s="9"/>
      <c r="Q307" s="9"/>
      <c r="R307" s="8"/>
    </row>
    <row r="308" spans="4:18">
      <c r="D308" s="6"/>
      <c r="E308" s="6"/>
      <c r="G308" s="7"/>
      <c r="H308" s="7"/>
      <c r="I308" s="7"/>
      <c r="J308" s="7"/>
      <c r="N308" s="8"/>
      <c r="O308" s="8"/>
      <c r="P308" s="9"/>
      <c r="Q308" s="9"/>
      <c r="R308" s="8"/>
    </row>
    <row r="309" spans="4:18">
      <c r="D309" s="6"/>
      <c r="E309" s="6"/>
      <c r="G309" s="7"/>
      <c r="H309" s="7"/>
      <c r="I309" s="7"/>
      <c r="J309" s="7"/>
      <c r="N309" s="8"/>
      <c r="O309" s="8"/>
      <c r="P309" s="9"/>
      <c r="Q309" s="9"/>
      <c r="R309" s="8"/>
    </row>
    <row r="310" spans="4:18">
      <c r="D310" s="6"/>
      <c r="E310" s="6"/>
      <c r="G310" s="7"/>
      <c r="H310" s="7"/>
      <c r="I310" s="7"/>
      <c r="J310" s="7"/>
      <c r="N310" s="8"/>
      <c r="O310" s="8"/>
      <c r="P310" s="9"/>
      <c r="Q310" s="9"/>
      <c r="R310" s="8"/>
    </row>
    <row r="311" spans="4:18">
      <c r="D311" s="6"/>
      <c r="E311" s="6"/>
      <c r="G311" s="7"/>
      <c r="H311" s="7"/>
      <c r="I311" s="7"/>
      <c r="J311" s="7"/>
      <c r="N311" s="8"/>
      <c r="O311" s="8"/>
      <c r="P311" s="9"/>
      <c r="Q311" s="9"/>
      <c r="R311" s="8"/>
    </row>
    <row r="312" spans="4:18">
      <c r="D312" s="6"/>
      <c r="E312" s="6"/>
      <c r="G312" s="7"/>
      <c r="H312" s="7"/>
      <c r="I312" s="7"/>
      <c r="J312" s="7"/>
      <c r="N312" s="8"/>
      <c r="O312" s="8"/>
      <c r="P312" s="9"/>
      <c r="Q312" s="9"/>
      <c r="R312" s="8"/>
    </row>
    <row r="313" spans="4:18">
      <c r="D313" s="6"/>
      <c r="E313" s="6"/>
      <c r="G313" s="7"/>
      <c r="H313" s="7"/>
      <c r="I313" s="7"/>
      <c r="J313" s="7"/>
      <c r="N313" s="8"/>
      <c r="O313" s="8"/>
      <c r="P313" s="9"/>
      <c r="Q313" s="9"/>
      <c r="R313" s="8"/>
    </row>
    <row r="314" spans="4:18">
      <c r="D314" s="6"/>
      <c r="E314" s="6"/>
      <c r="G314" s="7"/>
      <c r="H314" s="7"/>
      <c r="I314" s="7"/>
      <c r="J314" s="7"/>
      <c r="N314" s="8"/>
      <c r="O314" s="8"/>
      <c r="P314" s="9"/>
      <c r="Q314" s="9"/>
      <c r="R314" s="8"/>
    </row>
    <row r="315" spans="4:18">
      <c r="D315" s="6"/>
      <c r="E315" s="6"/>
      <c r="G315" s="7"/>
      <c r="H315" s="7"/>
      <c r="I315" s="7"/>
      <c r="J315" s="7"/>
      <c r="N315" s="8"/>
      <c r="O315" s="8"/>
      <c r="P315" s="9"/>
      <c r="Q315" s="9"/>
      <c r="R315" s="8"/>
    </row>
    <row r="316" spans="4:18">
      <c r="D316" s="6"/>
      <c r="E316" s="6"/>
      <c r="G316" s="7"/>
      <c r="H316" s="7"/>
      <c r="I316" s="7"/>
      <c r="J316" s="7"/>
      <c r="N316" s="8"/>
      <c r="O316" s="8"/>
      <c r="P316" s="9"/>
      <c r="Q316" s="9"/>
      <c r="R316" s="8"/>
    </row>
    <row r="317" spans="4:18">
      <c r="D317" s="6"/>
      <c r="E317" s="6"/>
      <c r="G317" s="7"/>
      <c r="H317" s="7"/>
      <c r="I317" s="7"/>
      <c r="J317" s="7"/>
      <c r="N317" s="8"/>
      <c r="O317" s="8"/>
      <c r="P317" s="9"/>
      <c r="Q317" s="9"/>
      <c r="R317" s="8"/>
    </row>
    <row r="318" spans="4:18">
      <c r="D318" s="6"/>
      <c r="E318" s="6"/>
      <c r="G318" s="7"/>
      <c r="H318" s="7"/>
      <c r="I318" s="7"/>
      <c r="J318" s="7"/>
      <c r="N318" s="8"/>
      <c r="O318" s="8"/>
      <c r="P318" s="9"/>
      <c r="Q318" s="9"/>
      <c r="R318" s="8"/>
    </row>
    <row r="319" spans="4:18">
      <c r="D319" s="6"/>
      <c r="E319" s="6"/>
      <c r="G319" s="7"/>
      <c r="H319" s="7"/>
      <c r="I319" s="7"/>
      <c r="J319" s="7"/>
      <c r="N319" s="8"/>
      <c r="O319" s="8"/>
      <c r="P319" s="9"/>
      <c r="Q319" s="9"/>
      <c r="R319" s="8"/>
    </row>
    <row r="320" spans="4:18">
      <c r="D320" s="6"/>
      <c r="E320" s="6"/>
      <c r="G320" s="7"/>
      <c r="H320" s="7"/>
      <c r="I320" s="7"/>
      <c r="J320" s="7"/>
      <c r="N320" s="8"/>
      <c r="O320" s="8"/>
      <c r="P320" s="9"/>
      <c r="Q320" s="9"/>
      <c r="R320" s="8"/>
    </row>
    <row r="321" spans="4:18">
      <c r="D321" s="6"/>
      <c r="E321" s="6"/>
      <c r="G321" s="7"/>
      <c r="H321" s="7"/>
      <c r="I321" s="7"/>
      <c r="J321" s="7"/>
      <c r="N321" s="8"/>
      <c r="O321" s="8"/>
      <c r="P321" s="9"/>
      <c r="Q321" s="9"/>
      <c r="R321" s="8"/>
    </row>
    <row r="322" spans="4:18">
      <c r="D322" s="6"/>
      <c r="E322" s="6"/>
      <c r="G322" s="7"/>
      <c r="H322" s="7"/>
      <c r="I322" s="7"/>
      <c r="J322" s="7"/>
      <c r="N322" s="8"/>
      <c r="O322" s="8"/>
      <c r="P322" s="9"/>
      <c r="Q322" s="9"/>
      <c r="R322" s="8"/>
    </row>
    <row r="323" spans="4:18">
      <c r="D323" s="6"/>
      <c r="E323" s="6"/>
      <c r="G323" s="7"/>
      <c r="H323" s="7"/>
      <c r="I323" s="7"/>
      <c r="J323" s="7"/>
      <c r="N323" s="8"/>
      <c r="O323" s="8"/>
      <c r="P323" s="9"/>
      <c r="Q323" s="9"/>
      <c r="R323" s="8"/>
    </row>
    <row r="324" spans="4:18">
      <c r="D324" s="6"/>
      <c r="E324" s="6"/>
      <c r="G324" s="7"/>
      <c r="H324" s="7"/>
      <c r="I324" s="7"/>
      <c r="J324" s="7"/>
      <c r="N324" s="8"/>
      <c r="O324" s="8"/>
      <c r="P324" s="9"/>
      <c r="Q324" s="9"/>
      <c r="R324" s="8"/>
    </row>
    <row r="325" spans="4:18">
      <c r="D325" s="6"/>
      <c r="E325" s="6"/>
      <c r="G325" s="7"/>
      <c r="H325" s="7"/>
      <c r="I325" s="7"/>
      <c r="J325" s="7"/>
      <c r="N325" s="8"/>
      <c r="O325" s="8"/>
      <c r="P325" s="9"/>
      <c r="Q325" s="9"/>
      <c r="R325" s="8"/>
    </row>
    <row r="326" spans="4:18">
      <c r="D326" s="6"/>
      <c r="E326" s="6"/>
      <c r="G326" s="7"/>
      <c r="H326" s="7"/>
      <c r="I326" s="7"/>
      <c r="J326" s="7"/>
      <c r="N326" s="8"/>
      <c r="O326" s="8"/>
      <c r="P326" s="9"/>
      <c r="Q326" s="9"/>
      <c r="R326" s="8"/>
    </row>
    <row r="327" spans="4:18">
      <c r="D327" s="6"/>
      <c r="E327" s="6"/>
      <c r="G327" s="7"/>
      <c r="H327" s="7"/>
      <c r="I327" s="7"/>
      <c r="J327" s="7"/>
      <c r="N327" s="8"/>
      <c r="O327" s="8"/>
      <c r="P327" s="9"/>
      <c r="Q327" s="9"/>
      <c r="R327" s="8"/>
    </row>
    <row r="328" spans="4:18">
      <c r="D328" s="6"/>
      <c r="E328" s="6"/>
      <c r="G328" s="7"/>
      <c r="H328" s="7"/>
      <c r="I328" s="7"/>
      <c r="J328" s="7"/>
      <c r="N328" s="8"/>
      <c r="O328" s="8"/>
      <c r="P328" s="9"/>
      <c r="Q328" s="9"/>
      <c r="R328" s="8"/>
    </row>
    <row r="329" spans="4:18">
      <c r="D329" s="6"/>
      <c r="E329" s="6"/>
      <c r="G329" s="7"/>
      <c r="H329" s="7"/>
      <c r="I329" s="7"/>
      <c r="J329" s="7"/>
      <c r="N329" s="8"/>
      <c r="O329" s="8"/>
      <c r="P329" s="9"/>
      <c r="Q329" s="9"/>
      <c r="R329" s="8"/>
    </row>
    <row r="330" spans="4:18">
      <c r="D330" s="6"/>
      <c r="E330" s="6"/>
      <c r="G330" s="7"/>
      <c r="H330" s="7"/>
      <c r="I330" s="7"/>
      <c r="J330" s="7"/>
      <c r="N330" s="8"/>
      <c r="O330" s="8"/>
      <c r="P330" s="9"/>
      <c r="Q330" s="9"/>
      <c r="R330" s="8"/>
    </row>
    <row r="331" spans="4:18">
      <c r="D331" s="6"/>
      <c r="E331" s="6"/>
      <c r="G331" s="7"/>
      <c r="H331" s="7"/>
      <c r="I331" s="7"/>
      <c r="J331" s="7"/>
      <c r="N331" s="8"/>
      <c r="O331" s="8"/>
      <c r="P331" s="9"/>
      <c r="Q331" s="9"/>
      <c r="R331" s="8"/>
    </row>
    <row r="332" spans="4:18">
      <c r="D332" s="6"/>
      <c r="E332" s="6"/>
      <c r="G332" s="7"/>
      <c r="H332" s="7"/>
      <c r="I332" s="7"/>
      <c r="J332" s="7"/>
      <c r="N332" s="8"/>
      <c r="O332" s="8"/>
      <c r="P332" s="9"/>
      <c r="Q332" s="9"/>
      <c r="R332" s="8"/>
    </row>
    <row r="333" spans="4:18">
      <c r="D333" s="6"/>
      <c r="E333" s="6"/>
      <c r="G333" s="7"/>
      <c r="H333" s="7"/>
      <c r="I333" s="7"/>
      <c r="J333" s="7"/>
      <c r="N333" s="8"/>
      <c r="O333" s="8"/>
      <c r="P333" s="9"/>
      <c r="Q333" s="9"/>
      <c r="R333" s="8"/>
    </row>
    <row r="334" spans="4:18">
      <c r="D334" s="6"/>
      <c r="E334" s="6"/>
      <c r="G334" s="7"/>
      <c r="H334" s="7"/>
      <c r="I334" s="7"/>
      <c r="J334" s="7"/>
      <c r="N334" s="8"/>
      <c r="O334" s="8"/>
      <c r="P334" s="9"/>
      <c r="Q334" s="9"/>
      <c r="R334" s="8"/>
    </row>
    <row r="335" spans="4:18">
      <c r="D335" s="6"/>
      <c r="E335" s="6"/>
      <c r="G335" s="7"/>
      <c r="H335" s="7"/>
      <c r="I335" s="7"/>
      <c r="J335" s="7"/>
      <c r="N335" s="8"/>
      <c r="O335" s="8"/>
      <c r="P335" s="9"/>
      <c r="Q335" s="9"/>
      <c r="R335" s="8"/>
    </row>
    <row r="336" spans="4:18">
      <c r="D336" s="6"/>
      <c r="E336" s="6"/>
      <c r="G336" s="7"/>
      <c r="H336" s="7"/>
      <c r="I336" s="7"/>
      <c r="J336" s="7"/>
      <c r="N336" s="8"/>
      <c r="O336" s="8"/>
      <c r="P336" s="9"/>
      <c r="Q336" s="9"/>
      <c r="R336" s="8"/>
    </row>
    <row r="337" spans="4:18">
      <c r="D337" s="6"/>
      <c r="E337" s="6"/>
      <c r="G337" s="7"/>
      <c r="H337" s="7"/>
      <c r="I337" s="7"/>
      <c r="J337" s="7"/>
      <c r="N337" s="8"/>
      <c r="O337" s="8"/>
      <c r="P337" s="9"/>
      <c r="Q337" s="9"/>
      <c r="R337" s="8"/>
    </row>
    <row r="338" spans="4:18">
      <c r="D338" s="6"/>
      <c r="E338" s="6"/>
      <c r="G338" s="7"/>
      <c r="H338" s="7"/>
      <c r="I338" s="7"/>
      <c r="J338" s="7"/>
      <c r="N338" s="8"/>
      <c r="O338" s="8"/>
      <c r="P338" s="9"/>
      <c r="Q338" s="9"/>
      <c r="R338" s="8"/>
    </row>
    <row r="339" spans="4:18">
      <c r="D339" s="6"/>
      <c r="E339" s="6"/>
      <c r="G339" s="7"/>
      <c r="H339" s="7"/>
      <c r="I339" s="7"/>
      <c r="J339" s="7"/>
      <c r="N339" s="8"/>
      <c r="O339" s="8"/>
      <c r="P339" s="9"/>
      <c r="Q339" s="9"/>
      <c r="R339" s="8"/>
    </row>
    <row r="340" spans="4:18">
      <c r="D340" s="6"/>
      <c r="E340" s="6"/>
      <c r="G340" s="7"/>
      <c r="H340" s="7"/>
      <c r="I340" s="7"/>
      <c r="J340" s="7"/>
      <c r="N340" s="8"/>
      <c r="O340" s="8"/>
      <c r="P340" s="9"/>
      <c r="Q340" s="9"/>
      <c r="R340" s="8"/>
    </row>
    <row r="341" spans="4:18">
      <c r="D341" s="6"/>
      <c r="E341" s="6"/>
      <c r="G341" s="7"/>
      <c r="H341" s="7"/>
      <c r="I341" s="7"/>
      <c r="J341" s="7"/>
      <c r="N341" s="8"/>
      <c r="O341" s="8"/>
      <c r="P341" s="9"/>
      <c r="Q341" s="9"/>
      <c r="R341" s="8"/>
    </row>
    <row r="342" spans="4:18">
      <c r="D342" s="6"/>
      <c r="E342" s="6"/>
      <c r="G342" s="7"/>
      <c r="H342" s="7"/>
      <c r="I342" s="7"/>
      <c r="J342" s="7"/>
      <c r="N342" s="8"/>
      <c r="O342" s="8"/>
      <c r="P342" s="9"/>
      <c r="Q342" s="9"/>
      <c r="R342" s="8"/>
    </row>
    <row r="343" spans="4:18">
      <c r="D343" s="6"/>
      <c r="E343" s="6"/>
      <c r="G343" s="7"/>
      <c r="H343" s="7"/>
      <c r="I343" s="7"/>
      <c r="J343" s="7"/>
      <c r="N343" s="8"/>
      <c r="O343" s="8"/>
      <c r="P343" s="9"/>
      <c r="Q343" s="9"/>
      <c r="R343" s="8"/>
    </row>
    <row r="344" spans="4:18">
      <c r="D344" s="6"/>
      <c r="E344" s="6"/>
      <c r="G344" s="7"/>
      <c r="H344" s="7"/>
      <c r="I344" s="7"/>
      <c r="J344" s="7"/>
      <c r="N344" s="8"/>
      <c r="O344" s="8"/>
      <c r="P344" s="9"/>
      <c r="Q344" s="9"/>
      <c r="R344" s="8"/>
    </row>
    <row r="345" spans="4:18">
      <c r="D345" s="6"/>
      <c r="E345" s="6"/>
      <c r="G345" s="7"/>
      <c r="H345" s="7"/>
      <c r="I345" s="7"/>
      <c r="J345" s="7"/>
      <c r="N345" s="8"/>
      <c r="O345" s="8"/>
      <c r="P345" s="9"/>
      <c r="Q345" s="9"/>
      <c r="R345" s="8"/>
    </row>
    <row r="346" spans="4:18">
      <c r="D346" s="6"/>
      <c r="E346" s="6"/>
      <c r="G346" s="7"/>
      <c r="H346" s="7"/>
      <c r="I346" s="7"/>
      <c r="J346" s="7"/>
      <c r="N346" s="8"/>
      <c r="O346" s="8"/>
      <c r="P346" s="9"/>
      <c r="Q346" s="9"/>
      <c r="R346" s="8"/>
    </row>
    <row r="347" spans="4:18">
      <c r="D347" s="6"/>
      <c r="E347" s="6"/>
      <c r="G347" s="7"/>
      <c r="H347" s="7"/>
      <c r="I347" s="7"/>
      <c r="J347" s="7"/>
      <c r="N347" s="8"/>
      <c r="O347" s="8"/>
      <c r="P347" s="9"/>
      <c r="Q347" s="9"/>
      <c r="R347" s="8"/>
    </row>
    <row r="348" spans="4:18">
      <c r="D348" s="6"/>
      <c r="E348" s="6"/>
      <c r="G348" s="7"/>
      <c r="H348" s="7"/>
      <c r="I348" s="7"/>
      <c r="J348" s="7"/>
      <c r="N348" s="8"/>
      <c r="O348" s="8"/>
      <c r="P348" s="9"/>
      <c r="Q348" s="9"/>
      <c r="R348" s="8"/>
    </row>
    <row r="349" spans="4:18">
      <c r="D349" s="6"/>
      <c r="E349" s="6"/>
      <c r="G349" s="7"/>
      <c r="H349" s="7"/>
      <c r="I349" s="7"/>
      <c r="J349" s="7"/>
      <c r="N349" s="8"/>
      <c r="O349" s="8"/>
      <c r="P349" s="9"/>
      <c r="Q349" s="9"/>
      <c r="R349" s="8"/>
    </row>
    <row r="350" spans="4:18">
      <c r="D350" s="6"/>
      <c r="E350" s="6"/>
      <c r="G350" s="7"/>
      <c r="H350" s="7"/>
      <c r="I350" s="7"/>
      <c r="J350" s="7"/>
      <c r="N350" s="8"/>
      <c r="O350" s="8"/>
      <c r="P350" s="9"/>
      <c r="Q350" s="9"/>
      <c r="R350" s="8"/>
    </row>
    <row r="351" spans="4:18">
      <c r="D351" s="6"/>
      <c r="E351" s="6"/>
      <c r="G351" s="7"/>
      <c r="H351" s="7"/>
      <c r="I351" s="7"/>
      <c r="J351" s="7"/>
      <c r="N351" s="8"/>
      <c r="O351" s="8"/>
      <c r="P351" s="9"/>
      <c r="Q351" s="9"/>
      <c r="R351" s="8"/>
    </row>
    <row r="352" spans="4:18">
      <c r="D352" s="6"/>
      <c r="E352" s="6"/>
      <c r="G352" s="7"/>
      <c r="H352" s="7"/>
      <c r="I352" s="7"/>
      <c r="J352" s="7"/>
      <c r="N352" s="8"/>
      <c r="O352" s="8"/>
      <c r="P352" s="9"/>
      <c r="Q352" s="9"/>
      <c r="R352" s="8"/>
    </row>
    <row r="353" spans="4:18">
      <c r="D353" s="6"/>
      <c r="E353" s="6"/>
      <c r="G353" s="7"/>
      <c r="H353" s="7"/>
      <c r="I353" s="7"/>
      <c r="J353" s="7"/>
      <c r="N353" s="8"/>
      <c r="O353" s="8"/>
      <c r="P353" s="9"/>
      <c r="Q353" s="9"/>
      <c r="R353" s="8"/>
    </row>
    <row r="354" spans="4:18">
      <c r="D354" s="6"/>
      <c r="E354" s="6"/>
      <c r="G354" s="7"/>
      <c r="H354" s="7"/>
      <c r="I354" s="7"/>
      <c r="J354" s="7"/>
      <c r="N354" s="8"/>
      <c r="O354" s="8"/>
      <c r="P354" s="9"/>
      <c r="Q354" s="9"/>
      <c r="R354" s="8"/>
    </row>
    <row r="355" spans="4:18">
      <c r="D355" s="6"/>
      <c r="E355" s="6"/>
      <c r="G355" s="7"/>
      <c r="H355" s="7"/>
      <c r="I355" s="7"/>
      <c r="J355" s="7"/>
      <c r="N355" s="8"/>
      <c r="O355" s="8"/>
      <c r="P355" s="9"/>
      <c r="Q355" s="9"/>
      <c r="R355" s="8"/>
    </row>
    <row r="356" spans="4:18">
      <c r="D356" s="6"/>
      <c r="E356" s="6"/>
      <c r="G356" s="7"/>
      <c r="H356" s="7"/>
      <c r="I356" s="7"/>
      <c r="J356" s="7"/>
      <c r="N356" s="8"/>
      <c r="O356" s="8"/>
      <c r="P356" s="9"/>
      <c r="Q356" s="9"/>
      <c r="R356" s="8"/>
    </row>
    <row r="357" spans="4:18">
      <c r="D357" s="6"/>
      <c r="E357" s="6"/>
      <c r="G357" s="7"/>
      <c r="H357" s="7"/>
      <c r="I357" s="7"/>
      <c r="J357" s="7"/>
      <c r="N357" s="8"/>
      <c r="O357" s="8"/>
      <c r="P357" s="9"/>
      <c r="Q357" s="9"/>
      <c r="R357" s="8"/>
    </row>
    <row r="358" spans="4:18">
      <c r="D358" s="6"/>
      <c r="E358" s="6"/>
      <c r="G358" s="7"/>
      <c r="H358" s="7"/>
      <c r="I358" s="7"/>
      <c r="J358" s="7"/>
      <c r="N358" s="8"/>
      <c r="O358" s="8"/>
      <c r="P358" s="9"/>
      <c r="Q358" s="9"/>
      <c r="R358" s="8"/>
    </row>
    <row r="359" spans="4:18">
      <c r="D359" s="6"/>
      <c r="E359" s="6"/>
      <c r="G359" s="7"/>
      <c r="H359" s="7"/>
      <c r="I359" s="7"/>
      <c r="J359" s="7"/>
      <c r="N359" s="8"/>
      <c r="O359" s="8"/>
      <c r="P359" s="9"/>
      <c r="Q359" s="9"/>
      <c r="R359" s="8"/>
    </row>
    <row r="360" spans="4:18">
      <c r="D360" s="6"/>
      <c r="E360" s="6"/>
      <c r="G360" s="7"/>
      <c r="H360" s="7"/>
      <c r="I360" s="7"/>
      <c r="J360" s="7"/>
      <c r="N360" s="8"/>
      <c r="O360" s="8"/>
      <c r="P360" s="9"/>
      <c r="Q360" s="9"/>
      <c r="R360" s="8"/>
    </row>
    <row r="361" spans="4:18">
      <c r="D361" s="6"/>
      <c r="E361" s="6"/>
      <c r="G361" s="7"/>
      <c r="H361" s="7"/>
      <c r="I361" s="7"/>
      <c r="J361" s="7"/>
      <c r="N361" s="8"/>
      <c r="O361" s="8"/>
      <c r="P361" s="9"/>
      <c r="Q361" s="9"/>
      <c r="R361" s="8"/>
    </row>
    <row r="362" spans="4:18">
      <c r="D362" s="6"/>
      <c r="E362" s="6"/>
      <c r="G362" s="7"/>
      <c r="H362" s="7"/>
      <c r="I362" s="7"/>
      <c r="J362" s="7"/>
      <c r="N362" s="8"/>
      <c r="O362" s="8"/>
      <c r="P362" s="9"/>
      <c r="Q362" s="9"/>
      <c r="R362" s="8"/>
    </row>
    <row r="363" spans="4:18">
      <c r="D363" s="6"/>
      <c r="E363" s="6"/>
      <c r="G363" s="7"/>
      <c r="H363" s="7"/>
      <c r="I363" s="7"/>
      <c r="J363" s="7"/>
      <c r="N363" s="8"/>
      <c r="O363" s="8"/>
      <c r="P363" s="9"/>
      <c r="Q363" s="9"/>
      <c r="R363" s="8"/>
    </row>
    <row r="364" spans="4:18">
      <c r="D364" s="6"/>
      <c r="E364" s="6"/>
      <c r="G364" s="7"/>
      <c r="H364" s="7"/>
      <c r="I364" s="7"/>
      <c r="J364" s="7"/>
      <c r="N364" s="8"/>
      <c r="O364" s="8"/>
      <c r="P364" s="9"/>
      <c r="Q364" s="9"/>
      <c r="R364" s="8"/>
    </row>
    <row r="365" spans="4:18">
      <c r="D365" s="6"/>
      <c r="E365" s="6"/>
      <c r="G365" s="7"/>
      <c r="H365" s="7"/>
      <c r="I365" s="7"/>
      <c r="J365" s="7"/>
      <c r="N365" s="8"/>
      <c r="O365" s="8"/>
      <c r="P365" s="9"/>
      <c r="Q365" s="9"/>
      <c r="R365" s="8"/>
    </row>
    <row r="366" spans="4:18">
      <c r="D366" s="6"/>
      <c r="E366" s="6"/>
      <c r="G366" s="7"/>
      <c r="H366" s="7"/>
      <c r="I366" s="7"/>
      <c r="J366" s="7"/>
      <c r="N366" s="8"/>
      <c r="O366" s="8"/>
      <c r="P366" s="9"/>
      <c r="Q366" s="9"/>
      <c r="R366" s="8"/>
    </row>
    <row r="367" spans="4:18">
      <c r="D367" s="6"/>
      <c r="E367" s="6"/>
      <c r="G367" s="7"/>
      <c r="H367" s="7"/>
      <c r="I367" s="7"/>
      <c r="J367" s="7"/>
      <c r="N367" s="8"/>
      <c r="O367" s="8"/>
      <c r="P367" s="9"/>
      <c r="Q367" s="9"/>
      <c r="R367" s="8"/>
    </row>
    <row r="368" spans="4:18">
      <c r="D368" s="6"/>
      <c r="E368" s="6"/>
      <c r="G368" s="7"/>
      <c r="H368" s="7"/>
      <c r="I368" s="7"/>
      <c r="J368" s="7"/>
      <c r="N368" s="8"/>
      <c r="O368" s="8"/>
      <c r="P368" s="9"/>
      <c r="Q368" s="9"/>
      <c r="R368" s="8"/>
    </row>
    <row r="369" spans="4:18">
      <c r="D369" s="6"/>
      <c r="E369" s="6"/>
      <c r="G369" s="7"/>
      <c r="H369" s="7"/>
      <c r="I369" s="7"/>
      <c r="J369" s="7"/>
      <c r="N369" s="8"/>
      <c r="O369" s="8"/>
      <c r="P369" s="9"/>
      <c r="Q369" s="9"/>
      <c r="R369" s="8"/>
    </row>
    <row r="370" spans="4:18">
      <c r="D370" s="6"/>
      <c r="E370" s="6"/>
      <c r="G370" s="7"/>
      <c r="H370" s="7"/>
      <c r="I370" s="7"/>
      <c r="J370" s="7"/>
      <c r="N370" s="8"/>
      <c r="O370" s="8"/>
      <c r="P370" s="9"/>
      <c r="Q370" s="9"/>
      <c r="R370" s="8"/>
    </row>
    <row r="371" spans="4:18">
      <c r="D371" s="6"/>
      <c r="E371" s="6"/>
      <c r="G371" s="7"/>
      <c r="H371" s="7"/>
      <c r="I371" s="7"/>
      <c r="J371" s="7"/>
      <c r="N371" s="8"/>
      <c r="O371" s="8"/>
      <c r="P371" s="9"/>
      <c r="Q371" s="9"/>
      <c r="R371" s="8"/>
    </row>
    <row r="372" spans="4:18">
      <c r="D372" s="6"/>
      <c r="E372" s="6"/>
      <c r="G372" s="7"/>
      <c r="H372" s="7"/>
      <c r="I372" s="7"/>
      <c r="J372" s="7"/>
      <c r="N372" s="8"/>
      <c r="O372" s="8"/>
      <c r="P372" s="9"/>
      <c r="Q372" s="9"/>
      <c r="R372" s="8"/>
    </row>
    <row r="373" spans="4:18">
      <c r="D373" s="6"/>
      <c r="E373" s="6"/>
      <c r="G373" s="7"/>
      <c r="H373" s="7"/>
      <c r="I373" s="7"/>
      <c r="J373" s="7"/>
      <c r="N373" s="8"/>
      <c r="O373" s="8"/>
      <c r="P373" s="9"/>
      <c r="Q373" s="9"/>
      <c r="R373" s="8"/>
    </row>
    <row r="374" spans="4:18">
      <c r="D374" s="6"/>
      <c r="E374" s="6"/>
      <c r="G374" s="7"/>
      <c r="H374" s="7"/>
      <c r="I374" s="7"/>
      <c r="J374" s="7"/>
      <c r="N374" s="8"/>
      <c r="O374" s="8"/>
      <c r="P374" s="9"/>
      <c r="Q374" s="9"/>
      <c r="R374" s="8"/>
    </row>
    <row r="375" spans="4:18">
      <c r="D375" s="6"/>
      <c r="E375" s="6"/>
      <c r="G375" s="7"/>
      <c r="H375" s="7"/>
      <c r="I375" s="7"/>
      <c r="J375" s="7"/>
      <c r="N375" s="8"/>
      <c r="O375" s="8"/>
      <c r="P375" s="9"/>
      <c r="Q375" s="9"/>
      <c r="R375" s="8"/>
    </row>
    <row r="376" spans="4:18">
      <c r="D376" s="6"/>
      <c r="E376" s="6"/>
      <c r="G376" s="7"/>
      <c r="H376" s="7"/>
      <c r="I376" s="7"/>
      <c r="J376" s="7"/>
      <c r="N376" s="8"/>
      <c r="O376" s="8"/>
      <c r="P376" s="9"/>
      <c r="Q376" s="9"/>
      <c r="R376" s="8"/>
    </row>
    <row r="377" spans="4:18">
      <c r="D377" s="6"/>
      <c r="E377" s="6"/>
      <c r="G377" s="7"/>
      <c r="H377" s="7"/>
      <c r="I377" s="7"/>
      <c r="J377" s="7"/>
      <c r="N377" s="8"/>
      <c r="O377" s="8"/>
      <c r="P377" s="9"/>
      <c r="Q377" s="9"/>
      <c r="R377" s="8"/>
    </row>
    <row r="378" spans="4:18">
      <c r="D378" s="6"/>
      <c r="E378" s="6"/>
      <c r="G378" s="7"/>
      <c r="H378" s="7"/>
      <c r="I378" s="7"/>
      <c r="J378" s="7"/>
      <c r="N378" s="8"/>
      <c r="O378" s="8"/>
      <c r="P378" s="9"/>
      <c r="Q378" s="9"/>
      <c r="R378" s="8"/>
    </row>
    <row r="379" spans="4:18">
      <c r="D379" s="6"/>
      <c r="E379" s="6"/>
      <c r="G379" s="7"/>
      <c r="H379" s="7"/>
      <c r="I379" s="7"/>
      <c r="J379" s="7"/>
      <c r="N379" s="8"/>
      <c r="O379" s="8"/>
      <c r="P379" s="9"/>
      <c r="Q379" s="9"/>
      <c r="R379" s="8"/>
    </row>
    <row r="380" spans="4:18">
      <c r="D380" s="6"/>
      <c r="E380" s="6"/>
      <c r="G380" s="7"/>
      <c r="H380" s="7"/>
      <c r="I380" s="7"/>
      <c r="J380" s="7"/>
      <c r="N380" s="8"/>
      <c r="O380" s="8"/>
      <c r="P380" s="9"/>
      <c r="Q380" s="9"/>
      <c r="R380" s="8"/>
    </row>
    <row r="381" spans="4:18">
      <c r="D381" s="6"/>
      <c r="E381" s="6"/>
      <c r="G381" s="7"/>
      <c r="H381" s="7"/>
      <c r="I381" s="7"/>
      <c r="J381" s="7"/>
      <c r="N381" s="8"/>
      <c r="O381" s="8"/>
      <c r="P381" s="9"/>
      <c r="Q381" s="9"/>
      <c r="R381" s="8"/>
    </row>
    <row r="382" spans="4:18">
      <c r="D382" s="6"/>
      <c r="E382" s="6"/>
      <c r="G382" s="7"/>
      <c r="H382" s="7"/>
      <c r="I382" s="7"/>
      <c r="J382" s="7"/>
      <c r="N382" s="8"/>
      <c r="O382" s="8"/>
      <c r="P382" s="9"/>
      <c r="Q382" s="9"/>
      <c r="R382" s="8"/>
    </row>
    <row r="383" spans="4:18">
      <c r="D383" s="6"/>
      <c r="E383" s="6"/>
      <c r="G383" s="7"/>
      <c r="H383" s="7"/>
      <c r="I383" s="7"/>
      <c r="J383" s="7"/>
      <c r="N383" s="8"/>
      <c r="O383" s="8"/>
      <c r="P383" s="9"/>
      <c r="Q383" s="9"/>
      <c r="R383" s="8"/>
    </row>
    <row r="384" spans="4:18">
      <c r="D384" s="6"/>
      <c r="E384" s="6"/>
      <c r="G384" s="7"/>
      <c r="H384" s="7"/>
      <c r="I384" s="7"/>
      <c r="J384" s="7"/>
      <c r="N384" s="8"/>
      <c r="O384" s="8"/>
      <c r="P384" s="9"/>
      <c r="Q384" s="9"/>
      <c r="R384" s="8"/>
    </row>
    <row r="385" spans="4:18">
      <c r="D385" s="6"/>
      <c r="E385" s="6"/>
      <c r="G385" s="7"/>
      <c r="H385" s="7"/>
      <c r="I385" s="7"/>
      <c r="J385" s="7"/>
      <c r="N385" s="8"/>
      <c r="O385" s="8"/>
      <c r="P385" s="9"/>
      <c r="Q385" s="9"/>
      <c r="R385" s="8"/>
    </row>
    <row r="386" spans="4:18">
      <c r="D386" s="6"/>
      <c r="E386" s="6"/>
      <c r="G386" s="7"/>
      <c r="H386" s="7"/>
      <c r="I386" s="7"/>
      <c r="J386" s="7"/>
      <c r="N386" s="8"/>
      <c r="O386" s="8"/>
      <c r="P386" s="9"/>
      <c r="Q386" s="9"/>
      <c r="R386" s="8"/>
    </row>
    <row r="387" spans="4:18">
      <c r="D387" s="6"/>
      <c r="E387" s="6"/>
      <c r="G387" s="7"/>
      <c r="H387" s="7"/>
      <c r="I387" s="7"/>
      <c r="J387" s="7"/>
      <c r="N387" s="8"/>
      <c r="O387" s="8"/>
      <c r="P387" s="9"/>
      <c r="Q387" s="9"/>
      <c r="R387" s="8"/>
    </row>
    <row r="388" spans="4:18">
      <c r="D388" s="6"/>
      <c r="E388" s="6"/>
      <c r="G388" s="7"/>
      <c r="H388" s="7"/>
      <c r="I388" s="7"/>
      <c r="J388" s="7"/>
      <c r="N388" s="8"/>
      <c r="O388" s="8"/>
      <c r="P388" s="9"/>
      <c r="Q388" s="9"/>
      <c r="R388" s="8"/>
    </row>
    <row r="389" spans="4:18">
      <c r="D389" s="6"/>
      <c r="E389" s="6"/>
      <c r="G389" s="7"/>
      <c r="H389" s="7"/>
      <c r="I389" s="7"/>
      <c r="J389" s="7"/>
      <c r="N389" s="8"/>
      <c r="O389" s="8"/>
      <c r="P389" s="9"/>
      <c r="Q389" s="9"/>
      <c r="R389" s="8"/>
    </row>
    <row r="390" spans="4:18">
      <c r="D390" s="6"/>
      <c r="E390" s="6"/>
      <c r="G390" s="7"/>
      <c r="H390" s="7"/>
      <c r="I390" s="7"/>
      <c r="J390" s="7"/>
      <c r="N390" s="8"/>
      <c r="O390" s="8"/>
      <c r="P390" s="9"/>
      <c r="Q390" s="9"/>
      <c r="R390" s="8"/>
    </row>
    <row r="391" spans="4:18">
      <c r="D391" s="6"/>
      <c r="E391" s="6"/>
      <c r="G391" s="7"/>
      <c r="H391" s="7"/>
      <c r="I391" s="7"/>
      <c r="J391" s="7"/>
      <c r="N391" s="8"/>
      <c r="O391" s="8"/>
      <c r="P391" s="9"/>
      <c r="Q391" s="9"/>
      <c r="R391" s="8"/>
    </row>
    <row r="392" spans="4:18">
      <c r="D392" s="6"/>
      <c r="E392" s="6"/>
      <c r="G392" s="7"/>
      <c r="H392" s="7"/>
      <c r="I392" s="7"/>
      <c r="J392" s="7"/>
      <c r="N392" s="8"/>
      <c r="O392" s="8"/>
      <c r="P392" s="9"/>
      <c r="Q392" s="9"/>
      <c r="R392" s="8"/>
    </row>
    <row r="393" spans="4:18">
      <c r="D393" s="6"/>
      <c r="E393" s="6"/>
      <c r="G393" s="7"/>
      <c r="H393" s="7"/>
      <c r="I393" s="7"/>
      <c r="J393" s="7"/>
      <c r="N393" s="8"/>
      <c r="O393" s="8"/>
      <c r="P393" s="9"/>
      <c r="Q393" s="9"/>
      <c r="R393" s="8"/>
    </row>
    <row r="394" spans="4:18">
      <c r="D394" s="6"/>
      <c r="E394" s="6"/>
      <c r="G394" s="7"/>
      <c r="H394" s="7"/>
      <c r="I394" s="7"/>
      <c r="J394" s="7"/>
      <c r="N394" s="8"/>
      <c r="O394" s="8"/>
      <c r="P394" s="9"/>
      <c r="Q394" s="9"/>
      <c r="R394" s="8"/>
    </row>
    <row r="395" spans="4:18">
      <c r="D395" s="6"/>
      <c r="E395" s="6"/>
      <c r="G395" s="7"/>
      <c r="H395" s="7"/>
      <c r="I395" s="7"/>
      <c r="J395" s="7"/>
      <c r="N395" s="8"/>
      <c r="O395" s="8"/>
      <c r="P395" s="9"/>
      <c r="Q395" s="9"/>
      <c r="R395" s="8"/>
    </row>
    <row r="396" spans="4:18">
      <c r="D396" s="6"/>
      <c r="E396" s="6"/>
      <c r="G396" s="7"/>
      <c r="H396" s="7"/>
      <c r="I396" s="7"/>
      <c r="J396" s="7"/>
      <c r="N396" s="8"/>
      <c r="O396" s="8"/>
      <c r="P396" s="9"/>
      <c r="Q396" s="9"/>
      <c r="R396" s="8"/>
    </row>
    <row r="397" spans="4:18">
      <c r="D397" s="6"/>
      <c r="E397" s="6"/>
      <c r="G397" s="7"/>
      <c r="H397" s="7"/>
      <c r="I397" s="7"/>
      <c r="J397" s="7"/>
      <c r="N397" s="8"/>
      <c r="O397" s="8"/>
      <c r="P397" s="9"/>
      <c r="Q397" s="9"/>
      <c r="R397" s="8"/>
    </row>
    <row r="398" spans="4:18">
      <c r="D398" s="6"/>
      <c r="E398" s="6"/>
      <c r="G398" s="7"/>
      <c r="H398" s="7"/>
      <c r="I398" s="7"/>
      <c r="J398" s="7"/>
      <c r="N398" s="8"/>
      <c r="O398" s="8"/>
      <c r="P398" s="9"/>
      <c r="Q398" s="9"/>
      <c r="R398" s="8"/>
    </row>
    <row r="399" spans="4:18">
      <c r="D399" s="6"/>
      <c r="E399" s="6"/>
      <c r="G399" s="7"/>
      <c r="H399" s="7"/>
      <c r="I399" s="7"/>
      <c r="J399" s="7"/>
      <c r="N399" s="8"/>
      <c r="O399" s="8"/>
      <c r="P399" s="9"/>
      <c r="Q399" s="9"/>
      <c r="R399" s="8"/>
    </row>
    <row r="400" spans="4:18">
      <c r="D400" s="6"/>
      <c r="E400" s="6"/>
      <c r="G400" s="7"/>
      <c r="H400" s="7"/>
      <c r="I400" s="7"/>
      <c r="J400" s="7"/>
      <c r="N400" s="8"/>
      <c r="O400" s="8"/>
      <c r="P400" s="9"/>
      <c r="Q400" s="9"/>
      <c r="R400" s="8"/>
    </row>
    <row r="401" spans="4:18">
      <c r="D401" s="6"/>
      <c r="E401" s="6"/>
      <c r="G401" s="7"/>
      <c r="H401" s="7"/>
      <c r="I401" s="7"/>
      <c r="J401" s="7"/>
      <c r="N401" s="8"/>
      <c r="O401" s="8"/>
      <c r="P401" s="9"/>
      <c r="Q401" s="9"/>
      <c r="R401" s="8"/>
    </row>
    <row r="402" spans="4:18">
      <c r="D402" s="6"/>
      <c r="E402" s="6"/>
      <c r="G402" s="7"/>
      <c r="H402" s="7"/>
      <c r="I402" s="7"/>
      <c r="J402" s="7"/>
      <c r="N402" s="8"/>
      <c r="O402" s="8"/>
      <c r="P402" s="9"/>
      <c r="Q402" s="9"/>
      <c r="R402" s="8"/>
    </row>
    <row r="403" spans="4:18">
      <c r="D403" s="6"/>
      <c r="E403" s="6"/>
      <c r="G403" s="7"/>
      <c r="H403" s="7"/>
      <c r="I403" s="7"/>
      <c r="J403" s="7"/>
      <c r="N403" s="8"/>
      <c r="O403" s="8"/>
      <c r="P403" s="9"/>
      <c r="Q403" s="9"/>
      <c r="R403" s="8"/>
    </row>
    <row r="404" spans="4:18">
      <c r="D404" s="6"/>
      <c r="E404" s="6"/>
      <c r="G404" s="7"/>
      <c r="H404" s="7"/>
      <c r="I404" s="7"/>
      <c r="J404" s="7"/>
      <c r="N404" s="8"/>
      <c r="O404" s="8"/>
      <c r="P404" s="9"/>
      <c r="Q404" s="9"/>
      <c r="R404" s="8"/>
    </row>
    <row r="405" spans="4:18">
      <c r="D405" s="6"/>
      <c r="E405" s="6"/>
      <c r="G405" s="7"/>
      <c r="H405" s="7"/>
      <c r="I405" s="7"/>
      <c r="J405" s="7"/>
      <c r="N405" s="8"/>
      <c r="O405" s="8"/>
      <c r="P405" s="9"/>
      <c r="Q405" s="9"/>
      <c r="R405" s="8"/>
    </row>
    <row r="406" spans="4:18">
      <c r="D406" s="6"/>
      <c r="E406" s="6"/>
      <c r="G406" s="7"/>
      <c r="H406" s="7"/>
      <c r="I406" s="7"/>
      <c r="J406" s="7"/>
      <c r="N406" s="8"/>
      <c r="O406" s="8"/>
      <c r="P406" s="9"/>
      <c r="Q406" s="9"/>
      <c r="R406" s="8"/>
    </row>
    <row r="407" spans="4:18">
      <c r="D407" s="6"/>
      <c r="E407" s="6"/>
      <c r="G407" s="7"/>
      <c r="H407" s="7"/>
      <c r="I407" s="7"/>
      <c r="J407" s="7"/>
      <c r="N407" s="8"/>
      <c r="O407" s="8"/>
      <c r="P407" s="9"/>
      <c r="Q407" s="9"/>
      <c r="R407" s="8"/>
    </row>
    <row r="408" spans="4:18">
      <c r="D408" s="6"/>
      <c r="E408" s="6"/>
      <c r="G408" s="7"/>
      <c r="H408" s="7"/>
      <c r="I408" s="7"/>
      <c r="J408" s="7"/>
      <c r="N408" s="8"/>
      <c r="O408" s="8"/>
      <c r="P408" s="9"/>
      <c r="Q408" s="9"/>
      <c r="R408" s="8"/>
    </row>
    <row r="409" spans="4:18">
      <c r="D409" s="6"/>
      <c r="E409" s="6"/>
      <c r="G409" s="7"/>
      <c r="H409" s="7"/>
      <c r="I409" s="7"/>
      <c r="J409" s="7"/>
      <c r="N409" s="8"/>
      <c r="O409" s="8"/>
      <c r="P409" s="9"/>
      <c r="Q409" s="9"/>
      <c r="R409" s="8"/>
    </row>
    <row r="410" spans="4:18">
      <c r="D410" s="6"/>
      <c r="E410" s="6"/>
      <c r="G410" s="7"/>
      <c r="H410" s="7"/>
      <c r="I410" s="7"/>
      <c r="J410" s="7"/>
      <c r="N410" s="8"/>
      <c r="O410" s="8"/>
      <c r="P410" s="9"/>
      <c r="Q410" s="9"/>
      <c r="R410" s="8"/>
    </row>
    <row r="411" spans="4:18">
      <c r="D411" s="6"/>
      <c r="E411" s="6"/>
      <c r="G411" s="7"/>
      <c r="H411" s="7"/>
      <c r="I411" s="7"/>
      <c r="J411" s="7"/>
      <c r="N411" s="8"/>
      <c r="O411" s="8"/>
      <c r="P411" s="9"/>
      <c r="Q411" s="9"/>
      <c r="R411" s="8"/>
    </row>
    <row r="412" spans="4:18">
      <c r="D412" s="6"/>
      <c r="E412" s="6"/>
      <c r="G412" s="7"/>
      <c r="H412" s="7"/>
      <c r="I412" s="7"/>
      <c r="J412" s="7"/>
      <c r="N412" s="8"/>
      <c r="O412" s="8"/>
      <c r="P412" s="9"/>
      <c r="Q412" s="9"/>
      <c r="R412" s="8"/>
    </row>
    <row r="413" spans="4:18">
      <c r="D413" s="6"/>
      <c r="E413" s="6"/>
      <c r="G413" s="7"/>
      <c r="H413" s="7"/>
      <c r="I413" s="7"/>
      <c r="J413" s="7"/>
      <c r="N413" s="8"/>
      <c r="O413" s="8"/>
      <c r="P413" s="9"/>
      <c r="Q413" s="9"/>
      <c r="R413" s="8"/>
    </row>
    <row r="414" spans="4:18">
      <c r="D414" s="6"/>
      <c r="E414" s="6"/>
      <c r="G414" s="7"/>
      <c r="H414" s="7"/>
      <c r="I414" s="7"/>
      <c r="J414" s="7"/>
      <c r="N414" s="8"/>
      <c r="O414" s="8"/>
      <c r="P414" s="9"/>
      <c r="Q414" s="9"/>
      <c r="R414" s="8"/>
    </row>
    <row r="415" spans="4:18">
      <c r="D415" s="6"/>
      <c r="E415" s="6"/>
      <c r="G415" s="7"/>
      <c r="H415" s="7"/>
      <c r="I415" s="7"/>
      <c r="J415" s="7"/>
      <c r="N415" s="8"/>
      <c r="O415" s="8"/>
      <c r="P415" s="9"/>
      <c r="Q415" s="9"/>
      <c r="R415" s="8"/>
    </row>
    <row r="416" spans="4:18">
      <c r="D416" s="6"/>
      <c r="E416" s="6"/>
      <c r="G416" s="7"/>
      <c r="H416" s="7"/>
      <c r="I416" s="7"/>
      <c r="J416" s="7"/>
      <c r="N416" s="8"/>
      <c r="O416" s="8"/>
      <c r="P416" s="9"/>
      <c r="Q416" s="9"/>
      <c r="R416" s="8"/>
    </row>
    <row r="417" spans="4:18">
      <c r="D417" s="6"/>
      <c r="E417" s="6"/>
      <c r="G417" s="7"/>
      <c r="H417" s="7"/>
      <c r="I417" s="7"/>
      <c r="J417" s="7"/>
      <c r="N417" s="8"/>
      <c r="O417" s="8"/>
      <c r="P417" s="9"/>
      <c r="Q417" s="9"/>
      <c r="R417" s="8"/>
    </row>
    <row r="418" spans="4:18">
      <c r="D418" s="6"/>
      <c r="E418" s="6"/>
      <c r="G418" s="7"/>
      <c r="H418" s="7"/>
      <c r="I418" s="7"/>
      <c r="J418" s="7"/>
      <c r="N418" s="8"/>
      <c r="O418" s="8"/>
      <c r="P418" s="9"/>
      <c r="Q418" s="9"/>
      <c r="R418" s="8"/>
    </row>
    <row r="419" spans="4:18">
      <c r="D419" s="6"/>
      <c r="E419" s="6"/>
      <c r="G419" s="7"/>
      <c r="H419" s="7"/>
      <c r="I419" s="7"/>
      <c r="J419" s="7"/>
      <c r="N419" s="8"/>
      <c r="O419" s="8"/>
      <c r="P419" s="9"/>
      <c r="Q419" s="9"/>
      <c r="R419" s="8"/>
    </row>
    <row r="420" spans="4:18">
      <c r="D420" s="6"/>
      <c r="E420" s="6"/>
      <c r="G420" s="7"/>
      <c r="H420" s="7"/>
      <c r="I420" s="7"/>
      <c r="J420" s="7"/>
      <c r="N420" s="8"/>
      <c r="O420" s="8"/>
      <c r="P420" s="9"/>
      <c r="Q420" s="9"/>
      <c r="R420" s="8"/>
    </row>
    <row r="421" spans="4:18">
      <c r="D421" s="6"/>
      <c r="E421" s="6"/>
      <c r="G421" s="7"/>
      <c r="H421" s="7"/>
      <c r="I421" s="7"/>
      <c r="J421" s="7"/>
      <c r="N421" s="8"/>
      <c r="O421" s="8"/>
      <c r="P421" s="9"/>
      <c r="Q421" s="9"/>
      <c r="R421" s="8"/>
    </row>
    <row r="422" spans="4:18">
      <c r="D422" s="6"/>
      <c r="E422" s="6"/>
      <c r="G422" s="7"/>
      <c r="H422" s="7"/>
      <c r="I422" s="7"/>
      <c r="J422" s="7"/>
      <c r="N422" s="8"/>
      <c r="O422" s="8"/>
      <c r="P422" s="9"/>
      <c r="Q422" s="9"/>
      <c r="R422" s="8"/>
    </row>
    <row r="423" spans="4:18">
      <c r="D423" s="6"/>
      <c r="E423" s="6"/>
      <c r="G423" s="7"/>
      <c r="H423" s="7"/>
      <c r="I423" s="7"/>
      <c r="J423" s="7"/>
      <c r="N423" s="8"/>
      <c r="O423" s="8"/>
      <c r="P423" s="9"/>
      <c r="Q423" s="9"/>
      <c r="R423" s="8"/>
    </row>
    <row r="424" spans="4:18">
      <c r="D424" s="6"/>
      <c r="E424" s="6"/>
      <c r="G424" s="7"/>
      <c r="H424" s="7"/>
      <c r="I424" s="7"/>
      <c r="J424" s="7"/>
      <c r="N424" s="8"/>
      <c r="O424" s="8"/>
      <c r="P424" s="9"/>
      <c r="Q424" s="9"/>
      <c r="R424" s="8"/>
    </row>
    <row r="425" spans="4:18">
      <c r="D425" s="6"/>
      <c r="E425" s="6"/>
      <c r="G425" s="7"/>
      <c r="H425" s="7"/>
      <c r="I425" s="7"/>
      <c r="J425" s="7"/>
      <c r="N425" s="8"/>
      <c r="O425" s="8"/>
      <c r="P425" s="9"/>
      <c r="Q425" s="9"/>
      <c r="R425" s="8"/>
    </row>
    <row r="426" spans="4:18">
      <c r="D426" s="6"/>
      <c r="E426" s="6"/>
      <c r="G426" s="7"/>
      <c r="H426" s="7"/>
      <c r="I426" s="7"/>
      <c r="J426" s="7"/>
      <c r="N426" s="8"/>
      <c r="O426" s="8"/>
      <c r="P426" s="9"/>
      <c r="Q426" s="9"/>
      <c r="R426" s="8"/>
    </row>
    <row r="427" spans="4:18">
      <c r="D427" s="6"/>
      <c r="E427" s="6"/>
      <c r="G427" s="7"/>
      <c r="H427" s="7"/>
      <c r="I427" s="7"/>
      <c r="J427" s="7"/>
      <c r="N427" s="8"/>
      <c r="O427" s="8"/>
      <c r="P427" s="9"/>
      <c r="Q427" s="9"/>
      <c r="R427" s="8"/>
    </row>
    <row r="428" spans="4:18">
      <c r="D428" s="6"/>
      <c r="E428" s="6"/>
      <c r="G428" s="7"/>
      <c r="H428" s="7"/>
      <c r="I428" s="7"/>
      <c r="J428" s="7"/>
      <c r="N428" s="8"/>
      <c r="O428" s="8"/>
      <c r="P428" s="9"/>
      <c r="Q428" s="9"/>
      <c r="R428" s="8"/>
    </row>
    <row r="429" spans="4:18">
      <c r="D429" s="6"/>
      <c r="E429" s="6"/>
      <c r="G429" s="7"/>
      <c r="H429" s="7"/>
      <c r="I429" s="7"/>
      <c r="J429" s="7"/>
      <c r="N429" s="8"/>
      <c r="O429" s="8"/>
      <c r="P429" s="9"/>
      <c r="Q429" s="9"/>
      <c r="R429" s="8"/>
    </row>
    <row r="430" spans="4:18">
      <c r="D430" s="6"/>
      <c r="E430" s="6"/>
      <c r="G430" s="7"/>
      <c r="H430" s="7"/>
      <c r="I430" s="7"/>
      <c r="J430" s="7"/>
      <c r="N430" s="8"/>
      <c r="O430" s="8"/>
      <c r="P430" s="9"/>
      <c r="Q430" s="9"/>
      <c r="R430" s="8"/>
    </row>
    <row r="431" spans="4:18">
      <c r="D431" s="6"/>
      <c r="E431" s="6"/>
      <c r="G431" s="7"/>
      <c r="H431" s="7"/>
      <c r="I431" s="7"/>
      <c r="J431" s="7"/>
      <c r="N431" s="8"/>
      <c r="O431" s="8"/>
      <c r="P431" s="9"/>
      <c r="Q431" s="9"/>
      <c r="R431" s="8"/>
    </row>
    <row r="432" spans="4:18">
      <c r="D432" s="6"/>
      <c r="E432" s="6"/>
      <c r="G432" s="7"/>
      <c r="H432" s="7"/>
      <c r="I432" s="7"/>
      <c r="J432" s="7"/>
      <c r="N432" s="8"/>
      <c r="O432" s="8"/>
      <c r="P432" s="9"/>
      <c r="Q432" s="9"/>
      <c r="R432" s="8"/>
    </row>
    <row r="433" spans="4:18">
      <c r="D433" s="6"/>
      <c r="E433" s="6"/>
      <c r="G433" s="7"/>
      <c r="H433" s="7"/>
      <c r="I433" s="7"/>
      <c r="J433" s="7"/>
      <c r="N433" s="8"/>
      <c r="O433" s="8"/>
      <c r="P433" s="9"/>
      <c r="Q433" s="9"/>
      <c r="R433" s="8"/>
    </row>
    <row r="434" spans="4:18">
      <c r="D434" s="6"/>
      <c r="E434" s="6"/>
      <c r="G434" s="7"/>
      <c r="H434" s="7"/>
      <c r="I434" s="7"/>
      <c r="J434" s="7"/>
      <c r="N434" s="8"/>
      <c r="O434" s="8"/>
      <c r="P434" s="9"/>
      <c r="Q434" s="9"/>
      <c r="R434" s="8"/>
    </row>
    <row r="435" spans="4:18">
      <c r="D435" s="6"/>
      <c r="E435" s="6"/>
      <c r="G435" s="7"/>
      <c r="H435" s="7"/>
      <c r="I435" s="7"/>
      <c r="J435" s="7"/>
      <c r="N435" s="8"/>
      <c r="O435" s="8"/>
      <c r="P435" s="9"/>
      <c r="Q435" s="9"/>
      <c r="R435" s="8"/>
    </row>
    <row r="436" spans="4:18">
      <c r="D436" s="6"/>
      <c r="E436" s="6"/>
      <c r="G436" s="7"/>
      <c r="H436" s="7"/>
      <c r="I436" s="7"/>
      <c r="J436" s="7"/>
      <c r="N436" s="8"/>
      <c r="O436" s="8"/>
      <c r="P436" s="9"/>
      <c r="Q436" s="9"/>
      <c r="R436" s="8"/>
    </row>
    <row r="437" spans="4:18">
      <c r="D437" s="6"/>
      <c r="E437" s="6"/>
      <c r="G437" s="7"/>
      <c r="H437" s="7"/>
      <c r="I437" s="7"/>
      <c r="J437" s="7"/>
      <c r="N437" s="8"/>
      <c r="O437" s="8"/>
      <c r="P437" s="9"/>
      <c r="Q437" s="9"/>
      <c r="R437" s="8"/>
    </row>
    <row r="438" spans="4:18">
      <c r="D438" s="6"/>
      <c r="E438" s="6"/>
      <c r="G438" s="7"/>
      <c r="H438" s="7"/>
      <c r="I438" s="7"/>
      <c r="J438" s="7"/>
      <c r="N438" s="8"/>
      <c r="O438" s="8"/>
      <c r="P438" s="9"/>
      <c r="Q438" s="9"/>
      <c r="R438" s="8"/>
    </row>
    <row r="439" spans="4:18">
      <c r="D439" s="6"/>
      <c r="E439" s="6"/>
      <c r="G439" s="7"/>
      <c r="H439" s="7"/>
      <c r="I439" s="7"/>
      <c r="J439" s="7"/>
      <c r="N439" s="8"/>
      <c r="O439" s="8"/>
      <c r="P439" s="9"/>
      <c r="Q439" s="9"/>
      <c r="R439" s="8"/>
    </row>
    <row r="440" spans="4:18">
      <c r="D440" s="6"/>
      <c r="E440" s="6"/>
      <c r="G440" s="7"/>
      <c r="H440" s="7"/>
      <c r="I440" s="7"/>
      <c r="J440" s="7"/>
      <c r="N440" s="8"/>
      <c r="O440" s="8"/>
      <c r="P440" s="9"/>
      <c r="Q440" s="9"/>
      <c r="R440" s="8"/>
    </row>
    <row r="441" spans="4:18">
      <c r="D441" s="6"/>
      <c r="E441" s="6"/>
      <c r="G441" s="7"/>
      <c r="H441" s="7"/>
      <c r="I441" s="7"/>
      <c r="J441" s="7"/>
      <c r="N441" s="8"/>
      <c r="O441" s="8"/>
      <c r="P441" s="9"/>
      <c r="Q441" s="9"/>
      <c r="R441" s="8"/>
    </row>
    <row r="442" spans="4:18">
      <c r="D442" s="6"/>
      <c r="E442" s="6"/>
      <c r="G442" s="7"/>
      <c r="H442" s="7"/>
      <c r="I442" s="7"/>
      <c r="J442" s="7"/>
      <c r="N442" s="8"/>
      <c r="O442" s="8"/>
      <c r="P442" s="9"/>
      <c r="Q442" s="9"/>
      <c r="R442" s="8"/>
    </row>
    <row r="443" spans="4:18">
      <c r="D443" s="6"/>
      <c r="E443" s="6"/>
      <c r="G443" s="7"/>
      <c r="H443" s="7"/>
      <c r="I443" s="7"/>
      <c r="J443" s="7"/>
      <c r="N443" s="8"/>
      <c r="O443" s="8"/>
      <c r="P443" s="9"/>
      <c r="Q443" s="9"/>
      <c r="R443" s="8"/>
    </row>
    <row r="444" spans="4:18">
      <c r="D444" s="6"/>
      <c r="E444" s="6"/>
      <c r="G444" s="7"/>
      <c r="H444" s="7"/>
      <c r="I444" s="7"/>
      <c r="J444" s="7"/>
      <c r="N444" s="8"/>
      <c r="O444" s="8"/>
      <c r="P444" s="9"/>
      <c r="Q444" s="9"/>
      <c r="R444" s="8"/>
    </row>
    <row r="445" spans="4:18">
      <c r="D445" s="6"/>
      <c r="E445" s="6"/>
      <c r="G445" s="7"/>
      <c r="H445" s="7"/>
      <c r="I445" s="7"/>
      <c r="J445" s="7"/>
      <c r="N445" s="8"/>
      <c r="O445" s="8"/>
      <c r="P445" s="9"/>
      <c r="Q445" s="9"/>
      <c r="R445" s="8"/>
    </row>
    <row r="446" spans="4:18">
      <c r="D446" s="6"/>
      <c r="E446" s="6"/>
      <c r="G446" s="7"/>
      <c r="H446" s="7"/>
      <c r="I446" s="7"/>
      <c r="J446" s="7"/>
      <c r="N446" s="8"/>
      <c r="O446" s="8"/>
      <c r="P446" s="9"/>
      <c r="Q446" s="9"/>
      <c r="R446" s="8"/>
    </row>
    <row r="447" spans="4:18">
      <c r="D447" s="6"/>
      <c r="E447" s="6"/>
      <c r="G447" s="7"/>
      <c r="H447" s="7"/>
      <c r="I447" s="7"/>
      <c r="J447" s="7"/>
      <c r="N447" s="8"/>
      <c r="O447" s="8"/>
      <c r="P447" s="9"/>
      <c r="Q447" s="9"/>
      <c r="R447" s="8"/>
    </row>
    <row r="448" spans="4:18">
      <c r="D448" s="6"/>
      <c r="E448" s="6"/>
      <c r="G448" s="7"/>
      <c r="H448" s="7"/>
      <c r="I448" s="7"/>
      <c r="J448" s="7"/>
      <c r="N448" s="8"/>
      <c r="O448" s="8"/>
      <c r="P448" s="9"/>
      <c r="Q448" s="9"/>
      <c r="R448" s="8"/>
    </row>
  </sheetData>
  <conditionalFormatting sqref="J2:J448">
    <cfRule type="expression" dxfId="30" priority="2">
      <formula>AND(ISNUMBER(J2),J2&gt;=80)</formula>
    </cfRule>
    <cfRule type="expression" dxfId="29" priority="3">
      <formula>AND(ISNUMBER(J2),J2&gt;=45,J2&lt;80)</formula>
    </cfRule>
    <cfRule type="expression" dxfId="28" priority="4">
      <formula>AND(ISNUMBER(J2),J2&gt;=20,J2&lt;45)</formula>
    </cfRule>
  </conditionalFormatting>
  <conditionalFormatting sqref="S2:S448">
    <cfRule type="expression" dxfId="27" priority="5">
      <formula>S2="Vermelho"</formula>
    </cfRule>
    <cfRule type="expression" dxfId="26" priority="6">
      <formula>S2="Amarelo"</formula>
    </cfRule>
    <cfRule type="expression" dxfId="25" priority="7">
      <formula>S2="Verde"</formula>
    </cfRule>
    <cfRule type="expression" dxfId="24" priority="8">
      <formula>S2="Cinza"</formula>
    </cfRule>
  </conditionalFormatting>
  <dataValidations count="6">
    <dataValidation type="list" allowBlank="1" showInputMessage="1" showErrorMessage="1" promptTitle="Área" prompt="Selecione uma área cadastrada em Configurações." sqref="B2:C448" xr:uid="{86351D59-55CC-4EC1-A3B6-0375F1EAF838}">
      <formula1>Lista_Areas</formula1>
    </dataValidation>
    <dataValidation type="list" allowBlank="1" showInputMessage="1" showErrorMessage="1" sqref="F2:F448" xr:uid="{B2CF5644-CE25-4307-981E-34568667D839}">
      <formula1>Lista_Interferencia</formula1>
    </dataValidation>
    <dataValidation type="list" allowBlank="1" showInputMessage="1" showErrorMessage="1" sqref="L2:L448" xr:uid="{3DB8202F-3ED6-4B52-803D-3538C0B3A1EC}">
      <formula1>Lista_Status</formula1>
    </dataValidation>
    <dataValidation type="whole" allowBlank="1" showInputMessage="1" showErrorMessage="1" promptTitle="Escala 1 a 5" prompt="Informe um número inteiro entre 1 (baixo) e 5 (alto)._x000a__x000a_Quanto a iniciativa ajuda o negócio" sqref="G1 G3:G1048576 G2" xr:uid="{9447BE04-6F53-450F-B8AB-29856402C46B}">
      <formula1>1</formula1>
      <formula2>5</formula2>
    </dataValidation>
    <dataValidation allowBlank="1" showInputMessage="1" showErrorMessage="1" promptTitle="Escala 1 a 5" prompt="Informe um número inteiro entre 1 (baixo) e 5 (alto)._x000a__x000a_Quão rápido precisa ser resolvida" sqref="H1:H1048576" xr:uid="{D6528BB5-CAB2-4187-BB22-D4FDF61D20C3}"/>
    <dataValidation allowBlank="1" showInputMessage="1" showErrorMessage="1" promptTitle="Escala 1 a 5" prompt="Informe um número inteiro entre 1 (baixo) e 5 (alto)._x000a__x000a_Quanto recurso/tempo ela consome" sqref="I1:I1048576" xr:uid="{D1B28A72-BC3B-4DE2-A3F7-B63F8C51A38E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F664-A747-4BD0-BCFC-D232C6324824}">
  <sheetPr>
    <tabColor rgb="FFFFFF00"/>
  </sheetPr>
  <dimension ref="A1:H11"/>
  <sheetViews>
    <sheetView topLeftCell="A6" workbookViewId="0">
      <selection activeCell="J8" sqref="J8"/>
    </sheetView>
  </sheetViews>
  <sheetFormatPr defaultColWidth="8.7109375" defaultRowHeight="12"/>
  <cols>
    <col min="1" max="1" width="10.85546875" style="1" bestFit="1" customWidth="1"/>
    <col min="2" max="2" width="5.140625" style="1" bestFit="1" customWidth="1"/>
    <col min="3" max="3" width="15.42578125" style="1" bestFit="1" customWidth="1"/>
    <col min="4" max="4" width="7.28515625" style="1" bestFit="1" customWidth="1"/>
    <col min="5" max="5" width="12.5703125" style="1" bestFit="1" customWidth="1"/>
    <col min="6" max="6" width="14.42578125" style="1" bestFit="1" customWidth="1"/>
    <col min="7" max="7" width="10.5703125" style="1" bestFit="1" customWidth="1"/>
    <col min="8" max="8" width="35.5703125" style="1" bestFit="1" customWidth="1"/>
    <col min="9" max="16384" width="8.7109375" style="1"/>
  </cols>
  <sheetData>
    <row r="1" spans="1:8" ht="30" customHeight="1">
      <c r="A1" s="45" t="s">
        <v>44</v>
      </c>
      <c r="B1" s="46"/>
      <c r="C1" s="46"/>
      <c r="D1" s="46"/>
      <c r="E1" s="46"/>
      <c r="F1" s="46"/>
      <c r="G1" s="46"/>
      <c r="H1" s="46"/>
    </row>
    <row r="3" spans="1:8">
      <c r="A3" s="2" t="s">
        <v>6</v>
      </c>
      <c r="B3" s="2" t="s">
        <v>45</v>
      </c>
      <c r="C3" s="2" t="s">
        <v>24</v>
      </c>
      <c r="D3" s="2" t="s">
        <v>35</v>
      </c>
      <c r="E3" s="2" t="s">
        <v>46</v>
      </c>
      <c r="F3" s="2" t="s">
        <v>47</v>
      </c>
      <c r="G3" s="2" t="s">
        <v>48</v>
      </c>
      <c r="H3" s="2" t="s">
        <v>49</v>
      </c>
    </row>
    <row r="4" spans="1:8" ht="24">
      <c r="A4" s="1" t="s">
        <v>10</v>
      </c>
      <c r="B4" s="1" t="s">
        <v>17</v>
      </c>
      <c r="C4" s="1" t="s">
        <v>50</v>
      </c>
      <c r="D4" s="1" t="s">
        <v>51</v>
      </c>
      <c r="E4" s="1" t="s">
        <v>36</v>
      </c>
      <c r="F4" s="1" t="s">
        <v>11</v>
      </c>
      <c r="G4" s="1">
        <v>80</v>
      </c>
      <c r="H4" s="3" t="s">
        <v>52</v>
      </c>
    </row>
    <row r="5" spans="1:8">
      <c r="A5" s="1" t="s">
        <v>12</v>
      </c>
      <c r="B5" s="1" t="s">
        <v>15</v>
      </c>
      <c r="C5" s="1" t="s">
        <v>40</v>
      </c>
      <c r="D5" s="1" t="s">
        <v>53</v>
      </c>
      <c r="E5" s="1" t="s">
        <v>54</v>
      </c>
      <c r="F5" s="1" t="s">
        <v>13</v>
      </c>
      <c r="G5" s="1">
        <v>45</v>
      </c>
      <c r="H5" s="3" t="s">
        <v>55</v>
      </c>
    </row>
    <row r="6" spans="1:8">
      <c r="A6" s="1" t="s">
        <v>14</v>
      </c>
      <c r="B6" s="1" t="s">
        <v>13</v>
      </c>
      <c r="C6" s="1" t="s">
        <v>56</v>
      </c>
      <c r="D6" s="1" t="s">
        <v>57</v>
      </c>
      <c r="E6" s="1" t="s">
        <v>58</v>
      </c>
      <c r="F6" s="1" t="s">
        <v>15</v>
      </c>
      <c r="G6" s="1">
        <v>20</v>
      </c>
      <c r="H6" s="3" t="s">
        <v>59</v>
      </c>
    </row>
    <row r="7" spans="1:8">
      <c r="A7" s="1" t="s">
        <v>16</v>
      </c>
      <c r="B7" s="1" t="s">
        <v>11</v>
      </c>
      <c r="C7" s="1" t="s">
        <v>60</v>
      </c>
      <c r="D7" s="1" t="s">
        <v>61</v>
      </c>
      <c r="E7" s="1" t="s">
        <v>41</v>
      </c>
      <c r="F7" s="1" t="s">
        <v>17</v>
      </c>
      <c r="G7" s="1">
        <v>0</v>
      </c>
      <c r="H7" s="3" t="s">
        <v>62</v>
      </c>
    </row>
    <row r="8" spans="1:8">
      <c r="A8" s="1" t="s">
        <v>18</v>
      </c>
      <c r="C8" s="1" t="s">
        <v>63</v>
      </c>
      <c r="E8" s="1" t="s">
        <v>64</v>
      </c>
    </row>
    <row r="9" spans="1:8">
      <c r="A9" s="1" t="s">
        <v>19</v>
      </c>
      <c r="E9" s="1" t="s">
        <v>65</v>
      </c>
    </row>
    <row r="11" spans="1:8" ht="197.45" customHeight="1">
      <c r="A11" s="47" t="s">
        <v>66</v>
      </c>
      <c r="B11" s="48"/>
      <c r="C11" s="48"/>
      <c r="D11" s="48"/>
      <c r="E11" s="48"/>
      <c r="F11" s="48"/>
      <c r="G11" s="48"/>
      <c r="H11" s="48"/>
    </row>
  </sheetData>
  <mergeCells count="2">
    <mergeCell ref="A1:H1"/>
    <mergeCell ref="A11:H1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1C00D39E576D4A8CDEAE7EA31E1EBA" ma:contentTypeVersion="18" ma:contentTypeDescription="Crie um novo documento." ma:contentTypeScope="" ma:versionID="2eb30d73066021ed365aa8baddafaf70">
  <xsd:schema xmlns:xsd="http://www.w3.org/2001/XMLSchema" xmlns:xs="http://www.w3.org/2001/XMLSchema" xmlns:p="http://schemas.microsoft.com/office/2006/metadata/properties" xmlns:ns1="http://schemas.microsoft.com/sharepoint/v3" xmlns:ns2="cc86b723-b70d-4d50-9be8-5761a85a0491" xmlns:ns3="b0ddffa9-2263-4b19-b975-3ebb07dd6d58" targetNamespace="http://schemas.microsoft.com/office/2006/metadata/properties" ma:root="true" ma:fieldsID="6183f7291b1af40e63fa25c4823ee094" ns1:_="" ns2:_="" ns3:_="">
    <xsd:import namespace="http://schemas.microsoft.com/sharepoint/v3"/>
    <xsd:import namespace="cc86b723-b70d-4d50-9be8-5761a85a0491"/>
    <xsd:import namespace="b0ddffa9-2263-4b19-b975-3ebb07dd6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6b723-b70d-4d50-9be8-5761a85a04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d91ff35-fc6b-4d86-80b2-ee0e3842de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dffa9-2263-4b19-b975-3ebb07dd6d5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68bf7b-9173-41e5-8978-c3be94d6b067}" ma:internalName="TaxCatchAll" ma:showField="CatchAllData" ma:web="b0ddffa9-2263-4b19-b975-3ebb07dd6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c86b723-b70d-4d50-9be8-5761a85a0491">
      <Terms xmlns="http://schemas.microsoft.com/office/infopath/2007/PartnerControls"/>
    </lcf76f155ced4ddcb4097134ff3c332f>
    <_ip_UnifiedCompliancePolicyProperties xmlns="http://schemas.microsoft.com/sharepoint/v3" xsi:nil="true"/>
    <TaxCatchAll xmlns="b0ddffa9-2263-4b19-b975-3ebb07dd6d58" xsi:nil="true"/>
  </documentManagement>
</p:properties>
</file>

<file path=customXml/itemProps1.xml><?xml version="1.0" encoding="utf-8"?>
<ds:datastoreItem xmlns:ds="http://schemas.openxmlformats.org/officeDocument/2006/customXml" ds:itemID="{8A244B7B-1710-4DBA-B548-AE13772729E6}"/>
</file>

<file path=customXml/itemProps2.xml><?xml version="1.0" encoding="utf-8"?>
<ds:datastoreItem xmlns:ds="http://schemas.openxmlformats.org/officeDocument/2006/customXml" ds:itemID="{C0CFAAC3-708D-4549-A485-26819BE2873B}"/>
</file>

<file path=customXml/itemProps3.xml><?xml version="1.0" encoding="utf-8"?>
<ds:datastoreItem xmlns:ds="http://schemas.openxmlformats.org/officeDocument/2006/customXml" ds:itemID="{D045D7FE-A291-4846-A039-CF2B28FA5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Antunes Cabaleiro</dc:creator>
  <cp:keywords/>
  <dc:description/>
  <cp:lastModifiedBy>Andre Antunes Cabaleiro</cp:lastModifiedBy>
  <cp:revision/>
  <dcterms:created xsi:type="dcterms:W3CDTF">2015-06-05T18:17:20Z</dcterms:created>
  <dcterms:modified xsi:type="dcterms:W3CDTF">2026-09-22T18:26:28Z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0x010100671C00D39E576D4A8CDEAE7EA31E1EBA</vt:lpwstr>
  </property>
  <property fmtid="{D5CDD505-2E9C-101B-9397-08002B2CF9AE}" pid="3" name="MediaServiceImageTags">
    <vt:lpwstr/>
  </property>
</Properties>
</file>